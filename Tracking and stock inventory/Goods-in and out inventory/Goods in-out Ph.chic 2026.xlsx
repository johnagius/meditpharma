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armaconsultamt.sharepoint.com/sites/Meditpharma/Meditpharma Warehouse/Shipping Documents/Meditpharma/Goods In/New folder/PharmaChic/"/>
    </mc:Choice>
  </mc:AlternateContent>
  <xr:revisionPtr revIDLastSave="0" documentId="13_ncr:1_{8D7969D4-1687-4A31-9EAF-470BBC27F235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April" sheetId="1" r:id="rId1"/>
    <sheet name="May" sheetId="2" r:id="rId2"/>
    <sheet name="Jun" sheetId="3" r:id="rId3"/>
    <sheet name="July" sheetId="4" r:id="rId4"/>
    <sheet name="August " sheetId="5" r:id="rId5"/>
    <sheet name="September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6" l="1"/>
  <c r="P13" i="6"/>
  <c r="Q13" i="6"/>
  <c r="R13" i="6"/>
  <c r="J13" i="6"/>
  <c r="K13" i="6"/>
  <c r="L13" i="6"/>
  <c r="M13" i="6"/>
  <c r="N13" i="6"/>
  <c r="O13" i="6"/>
  <c r="S4" i="6"/>
  <c r="S5" i="6"/>
  <c r="S6" i="6"/>
  <c r="S7" i="6"/>
  <c r="S8" i="6"/>
  <c r="S9" i="6"/>
  <c r="S11" i="6"/>
  <c r="S12" i="6"/>
  <c r="F13" i="6"/>
  <c r="G13" i="6"/>
  <c r="H13" i="6"/>
  <c r="I13" i="6"/>
  <c r="E13" i="6"/>
  <c r="S3" i="6"/>
  <c r="T4" i="5"/>
  <c r="T5" i="5"/>
  <c r="T6" i="5"/>
  <c r="T7" i="5"/>
  <c r="T8" i="5"/>
  <c r="T9" i="5"/>
  <c r="T10" i="5"/>
  <c r="T11" i="5"/>
  <c r="T12" i="5"/>
  <c r="T3" i="5"/>
  <c r="Q13" i="5"/>
  <c r="R13" i="5"/>
  <c r="S13" i="5"/>
  <c r="S13" i="6" l="1"/>
  <c r="F13" i="5"/>
  <c r="G13" i="5"/>
  <c r="H13" i="5"/>
  <c r="I13" i="5"/>
  <c r="J13" i="5"/>
  <c r="K13" i="5"/>
  <c r="L13" i="5"/>
  <c r="M13" i="5"/>
  <c r="N13" i="5"/>
  <c r="O13" i="5"/>
  <c r="P13" i="5"/>
  <c r="E13" i="5"/>
  <c r="T13" i="5" s="1"/>
  <c r="AC4" i="4"/>
  <c r="AC5" i="4"/>
  <c r="AC6" i="4"/>
  <c r="AC7" i="4"/>
  <c r="AC8" i="4"/>
  <c r="AC9" i="4"/>
  <c r="AC10" i="4"/>
  <c r="AC11" i="4"/>
  <c r="AC12" i="4"/>
  <c r="AC13" i="4"/>
  <c r="AC3" i="4"/>
  <c r="Z14" i="4"/>
  <c r="AA14" i="4"/>
  <c r="AB14" i="4"/>
  <c r="P14" i="4"/>
  <c r="Q14" i="4"/>
  <c r="R14" i="4"/>
  <c r="S14" i="4"/>
  <c r="T14" i="4"/>
  <c r="U14" i="4"/>
  <c r="V14" i="4"/>
  <c r="W14" i="4"/>
  <c r="X14" i="4"/>
  <c r="Y14" i="4"/>
  <c r="N14" i="4"/>
  <c r="O14" i="4"/>
  <c r="K14" i="4"/>
  <c r="L14" i="4"/>
  <c r="M14" i="4"/>
  <c r="F14" i="4"/>
  <c r="G14" i="4"/>
  <c r="H14" i="4"/>
  <c r="I14" i="4"/>
  <c r="J14" i="4"/>
  <c r="E14" i="4"/>
  <c r="X4" i="3"/>
  <c r="X5" i="3"/>
  <c r="X6" i="3"/>
  <c r="X7" i="3"/>
  <c r="X8" i="3"/>
  <c r="X9" i="3"/>
  <c r="X10" i="3"/>
  <c r="X11" i="3"/>
  <c r="X3" i="3"/>
  <c r="O12" i="3"/>
  <c r="P12" i="3"/>
  <c r="Q12" i="3"/>
  <c r="R12" i="3"/>
  <c r="S12" i="3"/>
  <c r="T12" i="3"/>
  <c r="U12" i="3"/>
  <c r="V12" i="3"/>
  <c r="W12" i="3"/>
  <c r="I12" i="3"/>
  <c r="J12" i="3"/>
  <c r="K12" i="3"/>
  <c r="N12" i="3"/>
  <c r="M12" i="3"/>
  <c r="L12" i="3"/>
  <c r="H12" i="3"/>
  <c r="G12" i="3"/>
  <c r="F12" i="3"/>
  <c r="E12" i="3"/>
  <c r="O12" i="2"/>
  <c r="P12" i="2"/>
  <c r="Q12" i="2"/>
  <c r="R12" i="2"/>
  <c r="S12" i="2"/>
  <c r="T12" i="2"/>
  <c r="U12" i="2"/>
  <c r="V4" i="2"/>
  <c r="V5" i="2"/>
  <c r="V6" i="2"/>
  <c r="V7" i="2"/>
  <c r="V8" i="2"/>
  <c r="V9" i="2"/>
  <c r="V10" i="2"/>
  <c r="V11" i="2"/>
  <c r="V3" i="2"/>
  <c r="M12" i="2"/>
  <c r="N12" i="2"/>
  <c r="F12" i="2"/>
  <c r="G12" i="2"/>
  <c r="H12" i="2"/>
  <c r="I12" i="2"/>
  <c r="J12" i="2"/>
  <c r="K12" i="2"/>
  <c r="L12" i="2"/>
  <c r="E12" i="2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AC14" i="4" l="1"/>
  <c r="X12" i="3"/>
  <c r="V12" i="2"/>
  <c r="W20" i="1"/>
</calcChain>
</file>

<file path=xl/sharedStrings.xml><?xml version="1.0" encoding="utf-8"?>
<sst xmlns="http://schemas.openxmlformats.org/spreadsheetml/2006/main" count="176" uniqueCount="44">
  <si>
    <t>Ph.Chic</t>
  </si>
  <si>
    <t xml:space="preserve">Product name </t>
  </si>
  <si>
    <t xml:space="preserve">Batch </t>
  </si>
  <si>
    <t>Exp</t>
  </si>
  <si>
    <t>Stock take 04.04.2025</t>
  </si>
  <si>
    <t>BOCOUTURE® 100u (XEOMIN®) 1 vial</t>
  </si>
  <si>
    <t>431930</t>
  </si>
  <si>
    <t>2027-02-28</t>
  </si>
  <si>
    <t>BOCOUTURE® 50u (XEOMIN®)</t>
  </si>
  <si>
    <t>431676</t>
  </si>
  <si>
    <t>431979</t>
  </si>
  <si>
    <t>2027-03-31</t>
  </si>
  <si>
    <t xml:space="preserve">NEXPLANON® </t>
  </si>
  <si>
    <t>B114102</t>
  </si>
  <si>
    <t>2029-03-31</t>
  </si>
  <si>
    <t>XEOMIN® 100u</t>
  </si>
  <si>
    <t>331928</t>
  </si>
  <si>
    <t>2027-11-30</t>
  </si>
  <si>
    <t>Total</t>
  </si>
  <si>
    <t>Gen</t>
  </si>
  <si>
    <t>28.02.2028</t>
  </si>
  <si>
    <t>B116402</t>
  </si>
  <si>
    <t>31.05.2029</t>
  </si>
  <si>
    <t>28.02.2027</t>
  </si>
  <si>
    <t>31.07.2027</t>
  </si>
  <si>
    <t>Norwich</t>
  </si>
  <si>
    <t>Stock</t>
  </si>
  <si>
    <t xml:space="preserve">Botox 100 UK </t>
  </si>
  <si>
    <t>D0158C4</t>
  </si>
  <si>
    <t xml:space="preserve">Gen </t>
  </si>
  <si>
    <t>B117578</t>
  </si>
  <si>
    <t>Gen1128</t>
  </si>
  <si>
    <t>31.10.2028</t>
  </si>
  <si>
    <t>31.03.2027</t>
  </si>
  <si>
    <t>Gen-1129</t>
  </si>
  <si>
    <t>B120099</t>
  </si>
  <si>
    <t>08.2029</t>
  </si>
  <si>
    <t>C122124</t>
  </si>
  <si>
    <t xml:space="preserve">Activa </t>
  </si>
  <si>
    <t>Dysport 500 TR</t>
  </si>
  <si>
    <t>020302</t>
  </si>
  <si>
    <t>Botox 100 TR</t>
  </si>
  <si>
    <t>D0205AC4</t>
  </si>
  <si>
    <t>D0253C4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</si>
</sst>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7" fontId="0" fillId="0" borderId="1" xfId="0" applyNumberFormat="1" applyBorder="1"/>
    <xf numFmtId="0" fontId="0" fillId="2" borderId="1" xfId="0" applyFill="1" applyBorder="1"/>
    <xf numFmtId="14" fontId="0" fillId="0" borderId="1" xfId="0" applyNumberFormat="1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7" fontId="0" fillId="2" borderId="1" xfId="0" applyNumberFormat="1" applyFill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workbookViewId="0">
      <selection activeCell="W20" sqref="W20"/>
    </sheetView>
  </sheetViews>
  <sheetFormatPr defaultRowHeight="15" x14ac:dyDescent="0.25"/>
  <cols>
    <col min="1" max="1" width="33.5703125" bestFit="1" customWidth="1"/>
  </cols>
  <sheetData>
    <row r="1" spans="1:23" x14ac:dyDescent="0.25">
      <c r="A1" s="14" t="s">
        <v>0</v>
      </c>
      <c r="B1" s="14"/>
      <c r="C1" s="14"/>
      <c r="D1" s="2">
        <v>38078</v>
      </c>
      <c r="E1" s="2">
        <v>38078</v>
      </c>
      <c r="F1" s="2">
        <v>39173</v>
      </c>
      <c r="G1" s="2">
        <v>39539</v>
      </c>
      <c r="H1" s="2">
        <v>39904</v>
      </c>
      <c r="I1" s="2">
        <v>40269</v>
      </c>
      <c r="J1" s="2">
        <v>40634</v>
      </c>
      <c r="K1" s="2">
        <v>41730</v>
      </c>
      <c r="L1" s="2">
        <v>42095</v>
      </c>
      <c r="M1" s="2">
        <v>42826</v>
      </c>
      <c r="N1" s="2">
        <v>44652</v>
      </c>
      <c r="O1" s="2">
        <v>44652</v>
      </c>
      <c r="P1" s="2">
        <v>45017</v>
      </c>
      <c r="Q1" s="2">
        <v>45383</v>
      </c>
      <c r="R1" s="2">
        <v>45748</v>
      </c>
      <c r="S1" s="2">
        <v>46844</v>
      </c>
      <c r="T1" s="2">
        <v>47209</v>
      </c>
      <c r="U1" s="2"/>
      <c r="V1" s="2"/>
      <c r="W1" s="1"/>
    </row>
    <row r="2" spans="1:23" x14ac:dyDescent="0.25">
      <c r="A2" s="3" t="s">
        <v>1</v>
      </c>
      <c r="B2" s="3" t="s">
        <v>2</v>
      </c>
      <c r="C2" s="3" t="s">
        <v>3</v>
      </c>
      <c r="D2" s="3" t="s">
        <v>4</v>
      </c>
      <c r="E2" s="3"/>
      <c r="F2" s="3"/>
      <c r="G2" s="3"/>
      <c r="H2" s="3"/>
      <c r="I2" s="3"/>
      <c r="J2" s="3"/>
      <c r="K2" s="3"/>
      <c r="L2" s="3"/>
      <c r="M2" s="3" t="s">
        <v>19</v>
      </c>
      <c r="N2" s="3" t="s">
        <v>25</v>
      </c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1" t="s">
        <v>5</v>
      </c>
      <c r="B3" s="1" t="s">
        <v>6</v>
      </c>
      <c r="C3" s="1" t="s">
        <v>7</v>
      </c>
      <c r="D3" s="3">
        <v>37</v>
      </c>
      <c r="E3" s="1">
        <v>-1</v>
      </c>
      <c r="F3" s="1"/>
      <c r="G3" s="1">
        <v>-6</v>
      </c>
      <c r="H3" s="1">
        <v>-1</v>
      </c>
      <c r="I3" s="1"/>
      <c r="J3" s="1"/>
      <c r="K3" s="1">
        <v>-1</v>
      </c>
      <c r="L3" s="1">
        <v>-2</v>
      </c>
      <c r="M3" s="1"/>
      <c r="N3" s="1"/>
      <c r="O3" s="1"/>
      <c r="P3" s="1"/>
      <c r="Q3" s="1"/>
      <c r="R3" s="1"/>
      <c r="S3" s="1"/>
      <c r="T3" s="1"/>
      <c r="U3" s="1"/>
      <c r="V3" s="1"/>
      <c r="W3" s="3">
        <f t="shared" ref="W3:W20" si="0">SUM(D3:V3)</f>
        <v>26</v>
      </c>
    </row>
    <row r="4" spans="1:23" x14ac:dyDescent="0.25">
      <c r="A4" s="1" t="s">
        <v>8</v>
      </c>
      <c r="B4" s="1" t="s">
        <v>9</v>
      </c>
      <c r="C4" s="1" t="s">
        <v>7</v>
      </c>
      <c r="D4" s="3">
        <v>30</v>
      </c>
      <c r="E4" s="1"/>
      <c r="F4" s="1"/>
      <c r="G4" s="1"/>
      <c r="H4" s="1">
        <v>-6</v>
      </c>
      <c r="I4" s="1">
        <v>-2</v>
      </c>
      <c r="J4" s="1"/>
      <c r="K4" s="1"/>
      <c r="L4" s="1">
        <v>-2</v>
      </c>
      <c r="M4" s="1"/>
      <c r="N4" s="1"/>
      <c r="O4" s="1"/>
      <c r="P4" s="1">
        <v>-6</v>
      </c>
      <c r="Q4" s="1"/>
      <c r="R4" s="1"/>
      <c r="S4" s="1"/>
      <c r="T4" s="1"/>
      <c r="U4" s="1"/>
      <c r="V4" s="1"/>
      <c r="W4" s="3">
        <f t="shared" si="0"/>
        <v>14</v>
      </c>
    </row>
    <row r="5" spans="1:23" x14ac:dyDescent="0.25">
      <c r="A5" s="1" t="s">
        <v>8</v>
      </c>
      <c r="B5" s="1" t="s">
        <v>10</v>
      </c>
      <c r="C5" s="1" t="s">
        <v>11</v>
      </c>
      <c r="D5" s="3">
        <v>11</v>
      </c>
      <c r="E5" s="1">
        <v>-1</v>
      </c>
      <c r="F5" s="1">
        <v>-5</v>
      </c>
      <c r="G5" s="1">
        <v>-2</v>
      </c>
      <c r="H5" s="1">
        <v>-2</v>
      </c>
      <c r="I5" s="1"/>
      <c r="J5" s="1"/>
      <c r="K5" s="1"/>
      <c r="L5" s="1">
        <v>-1</v>
      </c>
      <c r="M5" s="1"/>
      <c r="N5" s="1"/>
      <c r="O5" s="1"/>
      <c r="P5" s="1"/>
      <c r="Q5" s="1"/>
      <c r="R5" s="1"/>
      <c r="S5" s="1"/>
      <c r="T5" s="1"/>
      <c r="U5" s="1"/>
      <c r="V5" s="1"/>
      <c r="W5" s="3">
        <f t="shared" si="0"/>
        <v>0</v>
      </c>
    </row>
    <row r="6" spans="1:23" x14ac:dyDescent="0.25">
      <c r="A6" s="1" t="s">
        <v>12</v>
      </c>
      <c r="B6" s="1" t="s">
        <v>13</v>
      </c>
      <c r="C6" s="1" t="s">
        <v>14</v>
      </c>
      <c r="D6" s="3"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3">
        <f t="shared" si="0"/>
        <v>0</v>
      </c>
    </row>
    <row r="7" spans="1:23" x14ac:dyDescent="0.25">
      <c r="A7" s="1" t="s">
        <v>15</v>
      </c>
      <c r="B7" s="1" t="s">
        <v>16</v>
      </c>
      <c r="C7" s="1" t="s">
        <v>17</v>
      </c>
      <c r="D7" s="3">
        <v>25</v>
      </c>
      <c r="E7" s="1"/>
      <c r="F7" s="1"/>
      <c r="G7" s="1">
        <v>-1</v>
      </c>
      <c r="H7" s="1"/>
      <c r="I7" s="1">
        <v>-6</v>
      </c>
      <c r="J7" s="1">
        <v>-5</v>
      </c>
      <c r="K7" s="1">
        <v>-4</v>
      </c>
      <c r="L7" s="1"/>
      <c r="M7" s="1"/>
      <c r="N7" s="1"/>
      <c r="O7" s="1">
        <v>-6</v>
      </c>
      <c r="P7" s="1">
        <v>-2</v>
      </c>
      <c r="Q7" s="1">
        <v>-1</v>
      </c>
      <c r="R7" s="1"/>
      <c r="S7" s="1"/>
      <c r="T7" s="1"/>
      <c r="U7" s="1"/>
      <c r="V7" s="1"/>
      <c r="W7" s="3">
        <f t="shared" si="0"/>
        <v>0</v>
      </c>
    </row>
    <row r="8" spans="1:23" x14ac:dyDescent="0.25">
      <c r="A8" s="1" t="s">
        <v>15</v>
      </c>
      <c r="B8" s="1">
        <v>431322</v>
      </c>
      <c r="C8" s="1" t="s">
        <v>20</v>
      </c>
      <c r="D8" s="3"/>
      <c r="E8" s="1"/>
      <c r="F8" s="1"/>
      <c r="G8" s="1"/>
      <c r="H8" s="1"/>
      <c r="I8" s="1"/>
      <c r="J8" s="1"/>
      <c r="K8" s="1"/>
      <c r="L8" s="1"/>
      <c r="M8" s="1">
        <v>60</v>
      </c>
      <c r="N8" s="1">
        <v>-30</v>
      </c>
      <c r="O8" s="1"/>
      <c r="P8" s="1">
        <v>-11</v>
      </c>
      <c r="Q8" s="1">
        <v>-6</v>
      </c>
      <c r="R8" s="1">
        <v>-1</v>
      </c>
      <c r="S8" s="1">
        <v>-8</v>
      </c>
      <c r="T8" s="1"/>
      <c r="U8" s="1"/>
      <c r="V8" s="1"/>
      <c r="W8" s="3">
        <f t="shared" si="0"/>
        <v>4</v>
      </c>
    </row>
    <row r="9" spans="1:23" x14ac:dyDescent="0.25">
      <c r="A9" s="1" t="s">
        <v>12</v>
      </c>
      <c r="B9" s="1" t="s">
        <v>21</v>
      </c>
      <c r="C9" s="1" t="s">
        <v>22</v>
      </c>
      <c r="D9" s="3"/>
      <c r="E9" s="1"/>
      <c r="F9" s="1"/>
      <c r="G9" s="1"/>
      <c r="H9" s="1"/>
      <c r="I9" s="1"/>
      <c r="J9" s="1"/>
      <c r="K9" s="1"/>
      <c r="L9" s="1"/>
      <c r="M9" s="1">
        <v>30</v>
      </c>
      <c r="N9" s="1"/>
      <c r="O9" s="1">
        <v>-10</v>
      </c>
      <c r="P9" s="1"/>
      <c r="Q9" s="1"/>
      <c r="R9" s="1"/>
      <c r="S9" s="1"/>
      <c r="T9" s="1">
        <v>-10</v>
      </c>
      <c r="U9" s="1"/>
      <c r="V9" s="1"/>
      <c r="W9" s="3">
        <f t="shared" si="0"/>
        <v>10</v>
      </c>
    </row>
    <row r="10" spans="1:23" x14ac:dyDescent="0.25">
      <c r="A10" s="1" t="s">
        <v>5</v>
      </c>
      <c r="B10" s="1">
        <v>433287</v>
      </c>
      <c r="C10" s="1" t="s">
        <v>23</v>
      </c>
      <c r="D10" s="3"/>
      <c r="E10" s="1"/>
      <c r="F10" s="1"/>
      <c r="G10" s="1"/>
      <c r="H10" s="1"/>
      <c r="I10" s="1"/>
      <c r="J10" s="1"/>
      <c r="K10" s="1"/>
      <c r="L10" s="1"/>
      <c r="M10" s="1">
        <v>20</v>
      </c>
      <c r="N10" s="1">
        <v>-20</v>
      </c>
      <c r="O10" s="1"/>
      <c r="P10" s="1"/>
      <c r="Q10" s="1"/>
      <c r="R10" s="1"/>
      <c r="S10" s="1"/>
      <c r="T10" s="1"/>
      <c r="U10" s="1"/>
      <c r="V10" s="1"/>
      <c r="W10" s="3">
        <f t="shared" si="0"/>
        <v>0</v>
      </c>
    </row>
    <row r="11" spans="1:23" x14ac:dyDescent="0.25">
      <c r="A11" s="1" t="s">
        <v>8</v>
      </c>
      <c r="B11" s="1">
        <v>434564</v>
      </c>
      <c r="C11" s="1" t="s">
        <v>24</v>
      </c>
      <c r="D11" s="3"/>
      <c r="E11" s="1"/>
      <c r="F11" s="1"/>
      <c r="G11" s="1"/>
      <c r="H11" s="1"/>
      <c r="I11" s="1"/>
      <c r="J11" s="1"/>
      <c r="K11" s="1"/>
      <c r="L11" s="1"/>
      <c r="M11" s="1">
        <v>20</v>
      </c>
      <c r="N11" s="1">
        <v>-20</v>
      </c>
      <c r="O11" s="1"/>
      <c r="P11" s="1"/>
      <c r="Q11" s="1"/>
      <c r="R11" s="1"/>
      <c r="S11" s="1"/>
      <c r="T11" s="1"/>
      <c r="U11" s="1"/>
      <c r="V11" s="1"/>
      <c r="W11" s="3">
        <f t="shared" si="0"/>
        <v>0</v>
      </c>
    </row>
    <row r="12" spans="1:23" x14ac:dyDescent="0.25">
      <c r="A12" s="1"/>
      <c r="B12" s="1"/>
      <c r="C12" s="1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3">
        <f t="shared" si="0"/>
        <v>0</v>
      </c>
    </row>
    <row r="13" spans="1:23" x14ac:dyDescent="0.25">
      <c r="A13" s="1"/>
      <c r="B13" s="1"/>
      <c r="C13" s="1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3">
        <f t="shared" si="0"/>
        <v>0</v>
      </c>
    </row>
    <row r="14" spans="1:23" x14ac:dyDescent="0.25">
      <c r="A14" s="1"/>
      <c r="B14" s="1"/>
      <c r="C14" s="1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3">
        <f t="shared" si="0"/>
        <v>0</v>
      </c>
    </row>
    <row r="15" spans="1:23" x14ac:dyDescent="0.25">
      <c r="A15" s="1"/>
      <c r="B15" s="1"/>
      <c r="C15" s="1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3">
        <f t="shared" si="0"/>
        <v>0</v>
      </c>
    </row>
    <row r="16" spans="1:23" x14ac:dyDescent="0.25">
      <c r="A16" s="1"/>
      <c r="B16" s="1"/>
      <c r="C16" s="1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3">
        <f t="shared" si="0"/>
        <v>0</v>
      </c>
    </row>
    <row r="17" spans="1:23" x14ac:dyDescent="0.25">
      <c r="A17" s="1"/>
      <c r="B17" s="1"/>
      <c r="C17" s="1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3">
        <f t="shared" si="0"/>
        <v>0</v>
      </c>
    </row>
    <row r="18" spans="1:23" x14ac:dyDescent="0.25">
      <c r="A18" s="1"/>
      <c r="B18" s="1"/>
      <c r="C18" s="1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3">
        <f t="shared" si="0"/>
        <v>0</v>
      </c>
    </row>
    <row r="19" spans="1:23" x14ac:dyDescent="0.25">
      <c r="A19" s="1"/>
      <c r="B19" s="1"/>
      <c r="C19" s="1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3">
        <f t="shared" si="0"/>
        <v>0</v>
      </c>
    </row>
    <row r="20" spans="1:23" x14ac:dyDescent="0.25">
      <c r="A20" s="3" t="s">
        <v>18</v>
      </c>
      <c r="B20" s="3"/>
      <c r="C20" s="3"/>
      <c r="D20" s="3">
        <f t="shared" ref="D20:V20" si="1">SUM(D3:D19)</f>
        <v>103</v>
      </c>
      <c r="E20" s="3">
        <f t="shared" si="1"/>
        <v>-2</v>
      </c>
      <c r="F20" s="3">
        <f t="shared" si="1"/>
        <v>-5</v>
      </c>
      <c r="G20" s="3">
        <f t="shared" si="1"/>
        <v>-9</v>
      </c>
      <c r="H20" s="3">
        <f t="shared" si="1"/>
        <v>-9</v>
      </c>
      <c r="I20" s="3">
        <f t="shared" si="1"/>
        <v>-8</v>
      </c>
      <c r="J20" s="3">
        <f t="shared" si="1"/>
        <v>-5</v>
      </c>
      <c r="K20" s="3">
        <f t="shared" si="1"/>
        <v>-5</v>
      </c>
      <c r="L20" s="3">
        <f t="shared" si="1"/>
        <v>-5</v>
      </c>
      <c r="M20" s="3">
        <f t="shared" si="1"/>
        <v>130</v>
      </c>
      <c r="N20" s="3">
        <f t="shared" si="1"/>
        <v>-70</v>
      </c>
      <c r="O20" s="3">
        <f t="shared" si="1"/>
        <v>-16</v>
      </c>
      <c r="P20" s="3">
        <f t="shared" si="1"/>
        <v>-19</v>
      </c>
      <c r="Q20" s="3">
        <f t="shared" si="1"/>
        <v>-7</v>
      </c>
      <c r="R20" s="3">
        <f t="shared" si="1"/>
        <v>-1</v>
      </c>
      <c r="S20" s="3">
        <f t="shared" si="1"/>
        <v>-8</v>
      </c>
      <c r="T20" s="3">
        <f t="shared" si="1"/>
        <v>-10</v>
      </c>
      <c r="U20" s="3">
        <f t="shared" si="1"/>
        <v>0</v>
      </c>
      <c r="V20" s="3">
        <f t="shared" si="1"/>
        <v>0</v>
      </c>
      <c r="W20" s="3">
        <f t="shared" si="0"/>
        <v>54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"/>
  <sheetViews>
    <sheetView workbookViewId="0">
      <selection activeCell="O16" sqref="O16"/>
    </sheetView>
  </sheetViews>
  <sheetFormatPr defaultRowHeight="15" x14ac:dyDescent="0.25"/>
  <cols>
    <col min="1" max="1" width="32.7109375" bestFit="1" customWidth="1"/>
    <col min="2" max="2" width="8.140625" bestFit="1" customWidth="1"/>
    <col min="3" max="3" width="10.5703125" bestFit="1" customWidth="1"/>
    <col min="4" max="4" width="9" customWidth="1"/>
  </cols>
  <sheetData>
    <row r="1" spans="1:22" x14ac:dyDescent="0.25">
      <c r="A1" s="14" t="s">
        <v>0</v>
      </c>
      <c r="B1" s="14"/>
      <c r="C1" s="14"/>
      <c r="D1" s="1"/>
      <c r="E1" s="2">
        <v>37377</v>
      </c>
      <c r="F1" s="2">
        <v>39569</v>
      </c>
      <c r="G1" s="2">
        <v>39569</v>
      </c>
      <c r="H1" s="2">
        <v>41030</v>
      </c>
      <c r="I1" s="2">
        <v>41395</v>
      </c>
      <c r="J1" s="2">
        <v>41395</v>
      </c>
      <c r="K1" s="2">
        <v>41760</v>
      </c>
      <c r="L1" s="2">
        <v>42491</v>
      </c>
      <c r="M1" s="2">
        <v>43586</v>
      </c>
      <c r="N1" s="2">
        <v>43952</v>
      </c>
      <c r="O1" s="2">
        <v>45047</v>
      </c>
      <c r="P1" s="2">
        <v>46874</v>
      </c>
      <c r="Q1" s="2">
        <v>47239</v>
      </c>
      <c r="R1" s="2"/>
      <c r="S1" s="2"/>
      <c r="T1" s="2"/>
      <c r="U1" s="2"/>
      <c r="V1" s="1"/>
    </row>
    <row r="2" spans="1:22" x14ac:dyDescent="0.25">
      <c r="A2" s="3" t="s">
        <v>1</v>
      </c>
      <c r="B2" s="3" t="s">
        <v>2</v>
      </c>
      <c r="C2" s="3" t="s">
        <v>3</v>
      </c>
      <c r="D2" s="3" t="s">
        <v>26</v>
      </c>
      <c r="E2" s="3"/>
      <c r="F2" s="3"/>
      <c r="G2" s="3" t="s">
        <v>29</v>
      </c>
      <c r="H2" s="3"/>
      <c r="I2" s="3"/>
      <c r="J2" s="3"/>
      <c r="K2" s="3"/>
      <c r="L2" s="3"/>
      <c r="M2" s="3"/>
      <c r="N2" s="3"/>
      <c r="O2" s="3" t="s">
        <v>31</v>
      </c>
      <c r="P2" s="3"/>
      <c r="Q2" s="3"/>
      <c r="R2" s="3"/>
      <c r="S2" s="3"/>
      <c r="T2" s="3"/>
      <c r="U2" s="3"/>
      <c r="V2" s="3"/>
    </row>
    <row r="3" spans="1:22" x14ac:dyDescent="0.25">
      <c r="A3" s="1" t="s">
        <v>5</v>
      </c>
      <c r="B3" s="1" t="s">
        <v>6</v>
      </c>
      <c r="C3" s="1" t="s">
        <v>7</v>
      </c>
      <c r="D3" s="3">
        <v>26</v>
      </c>
      <c r="E3" s="1"/>
      <c r="F3" s="1"/>
      <c r="G3" s="1"/>
      <c r="H3" s="1"/>
      <c r="I3" s="1"/>
      <c r="J3" s="1"/>
      <c r="K3" s="1">
        <v>-1</v>
      </c>
      <c r="L3" s="1"/>
      <c r="M3" s="1"/>
      <c r="N3" s="1"/>
      <c r="O3" s="1"/>
      <c r="P3" s="1">
        <v>-2</v>
      </c>
      <c r="Q3" s="1"/>
      <c r="R3" s="1"/>
      <c r="S3" s="1"/>
      <c r="T3" s="1"/>
      <c r="U3" s="1"/>
      <c r="V3" s="3">
        <f>SUM(D3:U3)</f>
        <v>23</v>
      </c>
    </row>
    <row r="4" spans="1:22" x14ac:dyDescent="0.25">
      <c r="A4" s="1" t="s">
        <v>5</v>
      </c>
      <c r="B4" s="1">
        <v>433287</v>
      </c>
      <c r="C4" s="1" t="s">
        <v>23</v>
      </c>
      <c r="D4" s="3">
        <v>0</v>
      </c>
      <c r="E4" s="1"/>
      <c r="F4" s="1"/>
      <c r="G4" s="1"/>
      <c r="H4" s="1"/>
      <c r="I4" s="1"/>
      <c r="J4" s="1"/>
      <c r="K4" s="1"/>
      <c r="L4" s="1"/>
      <c r="M4" s="1"/>
      <c r="N4" s="1"/>
      <c r="O4" s="1">
        <v>20</v>
      </c>
      <c r="P4" s="1"/>
      <c r="Q4" s="1"/>
      <c r="R4" s="1"/>
      <c r="S4" s="1"/>
      <c r="T4" s="1"/>
      <c r="U4" s="1"/>
      <c r="V4" s="3">
        <f t="shared" ref="V4:V6" si="0">SUM(D4:U4)</f>
        <v>20</v>
      </c>
    </row>
    <row r="5" spans="1:22" x14ac:dyDescent="0.25">
      <c r="A5" s="1" t="s">
        <v>8</v>
      </c>
      <c r="B5" s="1" t="s">
        <v>9</v>
      </c>
      <c r="C5" s="1" t="s">
        <v>7</v>
      </c>
      <c r="D5" s="3">
        <v>14</v>
      </c>
      <c r="E5" s="1"/>
      <c r="F5" s="1">
        <v>-1</v>
      </c>
      <c r="G5" s="1"/>
      <c r="H5" s="1">
        <v>-10</v>
      </c>
      <c r="I5" s="1"/>
      <c r="J5" s="1">
        <v>-3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>
        <f t="shared" si="0"/>
        <v>0</v>
      </c>
    </row>
    <row r="6" spans="1:22" x14ac:dyDescent="0.25">
      <c r="A6" s="1" t="s">
        <v>8</v>
      </c>
      <c r="B6" s="1">
        <v>434564</v>
      </c>
      <c r="C6" s="1" t="s">
        <v>24</v>
      </c>
      <c r="D6" s="3">
        <v>0</v>
      </c>
      <c r="E6" s="1"/>
      <c r="F6" s="1"/>
      <c r="G6" s="1"/>
      <c r="H6" s="1"/>
      <c r="I6" s="1">
        <v>20</v>
      </c>
      <c r="J6" s="1">
        <v>-3</v>
      </c>
      <c r="K6" s="1">
        <v>-5</v>
      </c>
      <c r="L6" s="1">
        <v>-3</v>
      </c>
      <c r="M6" s="1"/>
      <c r="N6" s="1">
        <v>-3</v>
      </c>
      <c r="O6" s="1">
        <v>50</v>
      </c>
      <c r="P6" s="1">
        <v>-2</v>
      </c>
      <c r="Q6" s="1">
        <v>-2</v>
      </c>
      <c r="R6" s="1"/>
      <c r="S6" s="1"/>
      <c r="T6" s="1"/>
      <c r="U6" s="1"/>
      <c r="V6" s="3">
        <f t="shared" si="0"/>
        <v>52</v>
      </c>
    </row>
    <row r="7" spans="1:22" x14ac:dyDescent="0.25">
      <c r="A7" s="1" t="s">
        <v>12</v>
      </c>
      <c r="B7" s="1" t="s">
        <v>30</v>
      </c>
      <c r="C7" s="1">
        <v>5.29</v>
      </c>
      <c r="D7" s="3">
        <v>0</v>
      </c>
      <c r="E7" s="1"/>
      <c r="F7" s="1"/>
      <c r="G7" s="1"/>
      <c r="H7" s="1"/>
      <c r="I7" s="1">
        <v>40</v>
      </c>
      <c r="J7" s="1">
        <v>-6</v>
      </c>
      <c r="K7" s="1"/>
      <c r="L7" s="1">
        <v>-11</v>
      </c>
      <c r="M7" s="1"/>
      <c r="N7" s="1"/>
      <c r="O7" s="1">
        <v>50</v>
      </c>
      <c r="P7" s="1"/>
      <c r="Q7" s="1"/>
      <c r="R7" s="1"/>
      <c r="S7" s="1"/>
      <c r="T7" s="1"/>
      <c r="U7" s="1"/>
      <c r="V7" s="3">
        <f t="shared" ref="V7:V11" si="1">SUM(D7:U7)</f>
        <v>73</v>
      </c>
    </row>
    <row r="8" spans="1:22" ht="13.9" customHeight="1" x14ac:dyDescent="0.25">
      <c r="A8" s="1" t="s">
        <v>15</v>
      </c>
      <c r="B8" s="1">
        <v>436214</v>
      </c>
      <c r="C8" s="1">
        <v>10.28</v>
      </c>
      <c r="D8" s="3">
        <v>0</v>
      </c>
      <c r="E8" s="1"/>
      <c r="F8" s="1"/>
      <c r="G8" s="1"/>
      <c r="H8" s="1"/>
      <c r="I8" s="1">
        <v>40</v>
      </c>
      <c r="J8" s="1"/>
      <c r="K8" s="1"/>
      <c r="L8" s="1">
        <v>-4</v>
      </c>
      <c r="M8" s="1"/>
      <c r="N8" s="1"/>
      <c r="O8" s="1">
        <v>50</v>
      </c>
      <c r="P8" s="1"/>
      <c r="Q8" s="1"/>
      <c r="R8" s="1"/>
      <c r="S8" s="1"/>
      <c r="T8" s="1"/>
      <c r="U8" s="1"/>
      <c r="V8" s="3">
        <f t="shared" si="1"/>
        <v>86</v>
      </c>
    </row>
    <row r="9" spans="1:22" ht="15" customHeight="1" x14ac:dyDescent="0.25">
      <c r="A9" s="1" t="s">
        <v>15</v>
      </c>
      <c r="B9" s="1">
        <v>431322</v>
      </c>
      <c r="C9" s="1" t="s">
        <v>20</v>
      </c>
      <c r="D9" s="3">
        <v>4</v>
      </c>
      <c r="E9" s="1"/>
      <c r="F9" s="1">
        <v>-3</v>
      </c>
      <c r="G9" s="1"/>
      <c r="H9" s="1">
        <v>-1</v>
      </c>
      <c r="I9" s="1">
        <v>20</v>
      </c>
      <c r="J9" s="1">
        <v>-16</v>
      </c>
      <c r="K9" s="1">
        <v>-2</v>
      </c>
      <c r="L9" s="1"/>
      <c r="M9" s="1"/>
      <c r="N9" s="1"/>
      <c r="O9" s="1"/>
      <c r="P9" s="1"/>
      <c r="Q9" s="1"/>
      <c r="R9" s="1"/>
      <c r="S9" s="1"/>
      <c r="T9" s="1"/>
      <c r="U9" s="1"/>
      <c r="V9" s="3">
        <f t="shared" si="1"/>
        <v>2</v>
      </c>
    </row>
    <row r="10" spans="1:22" x14ac:dyDescent="0.25">
      <c r="A10" s="1" t="s">
        <v>12</v>
      </c>
      <c r="B10" s="1" t="s">
        <v>21</v>
      </c>
      <c r="C10" s="1" t="s">
        <v>22</v>
      </c>
      <c r="D10" s="3">
        <v>10</v>
      </c>
      <c r="E10" s="1">
        <v>-10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3">
        <f t="shared" si="1"/>
        <v>0</v>
      </c>
    </row>
    <row r="11" spans="1:22" x14ac:dyDescent="0.25">
      <c r="A11" s="1" t="s">
        <v>27</v>
      </c>
      <c r="B11" s="1" t="s">
        <v>28</v>
      </c>
      <c r="C11" s="4">
        <v>46477</v>
      </c>
      <c r="D11" s="3">
        <v>0</v>
      </c>
      <c r="E11" s="1"/>
      <c r="F11" s="1"/>
      <c r="G11" s="1">
        <v>50</v>
      </c>
      <c r="H11" s="1"/>
      <c r="I11" s="1"/>
      <c r="J11" s="1"/>
      <c r="K11" s="1"/>
      <c r="L11" s="1"/>
      <c r="M11" s="1">
        <v>-1</v>
      </c>
      <c r="N11" s="1"/>
      <c r="O11" s="1"/>
      <c r="P11" s="1"/>
      <c r="Q11" s="1"/>
      <c r="R11" s="1"/>
      <c r="S11" s="1"/>
      <c r="T11" s="1"/>
      <c r="U11" s="1"/>
      <c r="V11" s="3">
        <f t="shared" si="1"/>
        <v>49</v>
      </c>
    </row>
    <row r="12" spans="1:22" x14ac:dyDescent="0.25">
      <c r="A12" s="3" t="s">
        <v>18</v>
      </c>
      <c r="B12" s="3"/>
      <c r="C12" s="3"/>
      <c r="D12" s="3">
        <v>54</v>
      </c>
      <c r="E12" s="3">
        <f t="shared" ref="E12:N12" si="2">SUM(E2:E11)</f>
        <v>-10</v>
      </c>
      <c r="F12" s="3">
        <f t="shared" si="2"/>
        <v>-4</v>
      </c>
      <c r="G12" s="3">
        <f t="shared" si="2"/>
        <v>50</v>
      </c>
      <c r="H12" s="3">
        <f t="shared" si="2"/>
        <v>-11</v>
      </c>
      <c r="I12" s="3">
        <f t="shared" si="2"/>
        <v>120</v>
      </c>
      <c r="J12" s="3">
        <f t="shared" si="2"/>
        <v>-28</v>
      </c>
      <c r="K12" s="3">
        <f t="shared" si="2"/>
        <v>-8</v>
      </c>
      <c r="L12" s="3">
        <f t="shared" si="2"/>
        <v>-18</v>
      </c>
      <c r="M12" s="3">
        <f t="shared" si="2"/>
        <v>-1</v>
      </c>
      <c r="N12" s="3">
        <f t="shared" si="2"/>
        <v>-3</v>
      </c>
      <c r="O12" s="3">
        <f t="shared" ref="O12:U12" si="3">SUM(O2:O11)</f>
        <v>170</v>
      </c>
      <c r="P12" s="3">
        <f t="shared" si="3"/>
        <v>-4</v>
      </c>
      <c r="Q12" s="3">
        <f t="shared" si="3"/>
        <v>-2</v>
      </c>
      <c r="R12" s="3">
        <f t="shared" si="3"/>
        <v>0</v>
      </c>
      <c r="S12" s="3">
        <f t="shared" si="3"/>
        <v>0</v>
      </c>
      <c r="T12" s="3">
        <f t="shared" si="3"/>
        <v>0</v>
      </c>
      <c r="U12" s="3">
        <f t="shared" si="3"/>
        <v>0</v>
      </c>
      <c r="V12" s="3">
        <f t="shared" ref="V12" si="4">SUM(D12:U12)</f>
        <v>305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2"/>
  <sheetViews>
    <sheetView workbookViewId="0">
      <selection activeCell="X3" sqref="X3:X12"/>
    </sheetView>
  </sheetViews>
  <sheetFormatPr defaultRowHeight="15" x14ac:dyDescent="0.25"/>
  <cols>
    <col min="1" max="1" width="33.5703125" bestFit="1" customWidth="1"/>
    <col min="2" max="2" width="9.140625" style="7"/>
  </cols>
  <sheetData>
    <row r="1" spans="1:24" x14ac:dyDescent="0.25">
      <c r="A1" s="14" t="s">
        <v>0</v>
      </c>
      <c r="B1" s="14"/>
      <c r="C1" s="14"/>
      <c r="D1" s="1"/>
      <c r="E1" s="2">
        <v>37408</v>
      </c>
      <c r="F1" s="2">
        <v>37773</v>
      </c>
      <c r="G1" s="2">
        <v>38139</v>
      </c>
      <c r="H1" s="2">
        <v>38869</v>
      </c>
      <c r="I1" s="2">
        <v>38504</v>
      </c>
      <c r="J1" s="2">
        <v>40695</v>
      </c>
      <c r="K1" s="2">
        <v>41061</v>
      </c>
      <c r="L1" s="2">
        <v>41426</v>
      </c>
      <c r="M1" s="2">
        <v>42522</v>
      </c>
      <c r="N1" s="2">
        <v>42887</v>
      </c>
      <c r="O1" s="2">
        <v>43252</v>
      </c>
      <c r="P1" s="2">
        <v>43617</v>
      </c>
      <c r="Q1" s="2">
        <v>43983</v>
      </c>
      <c r="R1" s="2">
        <v>45078</v>
      </c>
      <c r="S1" s="2">
        <v>45444</v>
      </c>
      <c r="T1" s="2">
        <v>45809</v>
      </c>
      <c r="U1" s="2">
        <v>46174</v>
      </c>
      <c r="V1" s="2">
        <v>46539</v>
      </c>
      <c r="W1" s="2">
        <v>11110</v>
      </c>
      <c r="X1" s="1"/>
    </row>
    <row r="2" spans="1:24" x14ac:dyDescent="0.25">
      <c r="A2" s="3" t="s">
        <v>1</v>
      </c>
      <c r="B2" s="5" t="s">
        <v>2</v>
      </c>
      <c r="C2" s="3" t="s">
        <v>3</v>
      </c>
      <c r="D2" s="3" t="s">
        <v>26</v>
      </c>
      <c r="E2" s="3"/>
      <c r="F2" s="3"/>
      <c r="G2" s="3"/>
      <c r="H2" s="3"/>
      <c r="I2" s="3" t="s">
        <v>34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1" t="s">
        <v>5</v>
      </c>
      <c r="B3" s="6" t="s">
        <v>6</v>
      </c>
      <c r="C3" s="1" t="s">
        <v>7</v>
      </c>
      <c r="D3" s="3">
        <v>23</v>
      </c>
      <c r="E3" s="1"/>
      <c r="F3" s="1">
        <v>-6</v>
      </c>
      <c r="G3" s="1"/>
      <c r="H3" s="1">
        <v>-4</v>
      </c>
      <c r="I3" s="1"/>
      <c r="J3" s="1"/>
      <c r="K3" s="1"/>
      <c r="L3" s="1"/>
      <c r="M3" s="1"/>
      <c r="N3" s="1"/>
      <c r="O3" s="1"/>
      <c r="P3" s="1"/>
      <c r="Q3" s="1"/>
      <c r="R3" s="1">
        <v>-10</v>
      </c>
      <c r="S3" s="1"/>
      <c r="T3" s="1"/>
      <c r="U3" s="1"/>
      <c r="V3" s="1"/>
      <c r="W3" s="1"/>
      <c r="X3" s="3">
        <f>SUM(D3:W3)</f>
        <v>3</v>
      </c>
    </row>
    <row r="4" spans="1:24" x14ac:dyDescent="0.25">
      <c r="A4" s="1" t="s">
        <v>5</v>
      </c>
      <c r="B4" s="6">
        <v>433287</v>
      </c>
      <c r="C4" s="1" t="s">
        <v>23</v>
      </c>
      <c r="D4" s="3">
        <v>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>
        <v>-7</v>
      </c>
      <c r="W4" s="1"/>
      <c r="X4" s="3">
        <f t="shared" ref="X4:X12" si="0">SUM(D4:W4)</f>
        <v>13</v>
      </c>
    </row>
    <row r="5" spans="1:24" x14ac:dyDescent="0.25">
      <c r="A5" s="1" t="s">
        <v>8</v>
      </c>
      <c r="B5" s="6" t="s">
        <v>9</v>
      </c>
      <c r="C5" s="1" t="s">
        <v>7</v>
      </c>
      <c r="D5" s="3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3">
        <f t="shared" si="0"/>
        <v>0</v>
      </c>
    </row>
    <row r="6" spans="1:24" x14ac:dyDescent="0.25">
      <c r="A6" s="1" t="s">
        <v>8</v>
      </c>
      <c r="B6" s="6">
        <v>434564</v>
      </c>
      <c r="C6" s="1" t="s">
        <v>24</v>
      </c>
      <c r="D6" s="3">
        <v>52</v>
      </c>
      <c r="E6" s="1">
        <v>-2</v>
      </c>
      <c r="F6" s="1"/>
      <c r="G6" s="1">
        <v>-3</v>
      </c>
      <c r="H6" s="1">
        <v>-4</v>
      </c>
      <c r="I6" s="1"/>
      <c r="J6" s="1"/>
      <c r="K6" s="1">
        <v>-12</v>
      </c>
      <c r="L6" s="1"/>
      <c r="M6" s="1">
        <v>-2</v>
      </c>
      <c r="N6" s="1">
        <v>-3</v>
      </c>
      <c r="O6" s="1"/>
      <c r="P6" s="1"/>
      <c r="Q6" s="1"/>
      <c r="R6" s="1">
        <v>-1</v>
      </c>
      <c r="S6" s="1"/>
      <c r="T6" s="1">
        <v>-10</v>
      </c>
      <c r="U6" s="1">
        <v>-2</v>
      </c>
      <c r="V6" s="1"/>
      <c r="W6" s="1">
        <v>-5</v>
      </c>
      <c r="X6" s="3">
        <f t="shared" si="0"/>
        <v>8</v>
      </c>
    </row>
    <row r="7" spans="1:24" x14ac:dyDescent="0.25">
      <c r="A7" s="1" t="s">
        <v>12</v>
      </c>
      <c r="B7" s="6" t="s">
        <v>30</v>
      </c>
      <c r="C7" s="1" t="s">
        <v>22</v>
      </c>
      <c r="D7" s="3">
        <v>73</v>
      </c>
      <c r="E7" s="1"/>
      <c r="F7" s="1"/>
      <c r="G7" s="1"/>
      <c r="H7" s="1"/>
      <c r="I7" s="1"/>
      <c r="J7" s="1">
        <v>-6</v>
      </c>
      <c r="K7" s="1">
        <v>-6</v>
      </c>
      <c r="L7" s="1"/>
      <c r="M7" s="1"/>
      <c r="N7" s="1">
        <v>-4</v>
      </c>
      <c r="O7" s="1"/>
      <c r="P7" s="1">
        <v>-6</v>
      </c>
      <c r="Q7" s="1"/>
      <c r="R7" s="1">
        <v>-16</v>
      </c>
      <c r="S7" s="1"/>
      <c r="T7" s="1"/>
      <c r="U7" s="1"/>
      <c r="V7" s="1"/>
      <c r="W7" s="1">
        <v>-2</v>
      </c>
      <c r="X7" s="3">
        <f t="shared" si="0"/>
        <v>33</v>
      </c>
    </row>
    <row r="8" spans="1:24" x14ac:dyDescent="0.25">
      <c r="A8" s="1" t="s">
        <v>15</v>
      </c>
      <c r="B8" s="6">
        <v>436214</v>
      </c>
      <c r="C8" s="1" t="s">
        <v>32</v>
      </c>
      <c r="D8" s="3">
        <v>86</v>
      </c>
      <c r="E8" s="1"/>
      <c r="F8" s="1"/>
      <c r="G8" s="1"/>
      <c r="H8" s="1"/>
      <c r="I8" s="1">
        <v>100</v>
      </c>
      <c r="J8" s="1"/>
      <c r="K8" s="1">
        <v>-7</v>
      </c>
      <c r="L8" s="1">
        <v>-4</v>
      </c>
      <c r="M8" s="1">
        <v>-8</v>
      </c>
      <c r="N8" s="1">
        <v>-14</v>
      </c>
      <c r="O8" s="1">
        <v>-6</v>
      </c>
      <c r="P8" s="1">
        <v>-3</v>
      </c>
      <c r="Q8" s="1">
        <v>-9</v>
      </c>
      <c r="R8" s="1">
        <v>-5</v>
      </c>
      <c r="S8" s="1">
        <v>-18</v>
      </c>
      <c r="T8" s="1">
        <v>-12</v>
      </c>
      <c r="U8" s="1">
        <v>-14</v>
      </c>
      <c r="V8" s="1">
        <v>-3</v>
      </c>
      <c r="W8" s="1">
        <v>-9</v>
      </c>
      <c r="X8" s="3">
        <f t="shared" si="0"/>
        <v>74</v>
      </c>
    </row>
    <row r="9" spans="1:24" x14ac:dyDescent="0.25">
      <c r="A9" s="1" t="s">
        <v>15</v>
      </c>
      <c r="B9" s="6">
        <v>431322</v>
      </c>
      <c r="C9" s="1" t="s">
        <v>20</v>
      </c>
      <c r="D9" s="3">
        <v>2</v>
      </c>
      <c r="E9" s="1"/>
      <c r="F9" s="1"/>
      <c r="G9" s="1"/>
      <c r="H9" s="1"/>
      <c r="I9" s="1"/>
      <c r="J9" s="1"/>
      <c r="K9" s="1">
        <v>-2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3">
        <f t="shared" si="0"/>
        <v>0</v>
      </c>
    </row>
    <row r="10" spans="1:24" x14ac:dyDescent="0.25">
      <c r="A10" s="1" t="s">
        <v>12</v>
      </c>
      <c r="B10" s="6" t="s">
        <v>21</v>
      </c>
      <c r="C10" s="1" t="s">
        <v>22</v>
      </c>
      <c r="D10" s="3"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3">
        <f t="shared" si="0"/>
        <v>0</v>
      </c>
    </row>
    <row r="11" spans="1:24" x14ac:dyDescent="0.25">
      <c r="A11" s="1" t="s">
        <v>27</v>
      </c>
      <c r="B11" s="6" t="s">
        <v>28</v>
      </c>
      <c r="C11" s="4" t="s">
        <v>33</v>
      </c>
      <c r="D11" s="3">
        <v>49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3">
        <f t="shared" si="0"/>
        <v>49</v>
      </c>
    </row>
    <row r="12" spans="1:24" x14ac:dyDescent="0.25">
      <c r="A12" s="3" t="s">
        <v>18</v>
      </c>
      <c r="B12" s="5"/>
      <c r="C12" s="3"/>
      <c r="D12" s="3">
        <v>305</v>
      </c>
      <c r="E12" s="3">
        <f t="shared" ref="E12:W12" si="1">SUM(E2:E11)</f>
        <v>-2</v>
      </c>
      <c r="F12" s="3">
        <f t="shared" si="1"/>
        <v>-6</v>
      </c>
      <c r="G12" s="3">
        <f t="shared" si="1"/>
        <v>-3</v>
      </c>
      <c r="H12" s="3">
        <f t="shared" si="1"/>
        <v>-8</v>
      </c>
      <c r="I12" s="3">
        <f t="shared" si="1"/>
        <v>100</v>
      </c>
      <c r="J12" s="3">
        <f t="shared" si="1"/>
        <v>-6</v>
      </c>
      <c r="K12" s="3">
        <f t="shared" si="1"/>
        <v>-27</v>
      </c>
      <c r="L12" s="3">
        <f t="shared" si="1"/>
        <v>-4</v>
      </c>
      <c r="M12" s="3">
        <f t="shared" si="1"/>
        <v>-10</v>
      </c>
      <c r="N12" s="3">
        <f t="shared" si="1"/>
        <v>-21</v>
      </c>
      <c r="O12" s="3">
        <f t="shared" si="1"/>
        <v>-6</v>
      </c>
      <c r="P12" s="3">
        <f t="shared" si="1"/>
        <v>-9</v>
      </c>
      <c r="Q12" s="3">
        <f t="shared" si="1"/>
        <v>-9</v>
      </c>
      <c r="R12" s="3">
        <f t="shared" si="1"/>
        <v>-32</v>
      </c>
      <c r="S12" s="3">
        <f t="shared" si="1"/>
        <v>-18</v>
      </c>
      <c r="T12" s="3">
        <f t="shared" si="1"/>
        <v>-22</v>
      </c>
      <c r="U12" s="3">
        <f t="shared" si="1"/>
        <v>-16</v>
      </c>
      <c r="V12" s="3">
        <f t="shared" si="1"/>
        <v>-10</v>
      </c>
      <c r="W12" s="3">
        <f t="shared" si="1"/>
        <v>-16</v>
      </c>
      <c r="X12" s="3">
        <f t="shared" si="0"/>
        <v>180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4"/>
  <sheetViews>
    <sheetView topLeftCell="B1" workbookViewId="0">
      <selection activeCell="AC1" sqref="AC1:AC14"/>
    </sheetView>
  </sheetViews>
  <sheetFormatPr defaultRowHeight="15" x14ac:dyDescent="0.25"/>
  <cols>
    <col min="1" max="1" width="32.7109375" bestFit="1" customWidth="1"/>
    <col min="2" max="2" width="8.28515625" bestFit="1" customWidth="1"/>
    <col min="3" max="3" width="10.28515625" bestFit="1" customWidth="1"/>
  </cols>
  <sheetData>
    <row r="1" spans="1:29" x14ac:dyDescent="0.25">
      <c r="A1" s="14" t="s">
        <v>0</v>
      </c>
      <c r="B1" s="14"/>
      <c r="C1" s="14"/>
      <c r="D1" s="3"/>
      <c r="E1" s="8">
        <v>37073</v>
      </c>
      <c r="F1" s="8">
        <v>37438</v>
      </c>
      <c r="G1" s="8">
        <v>37803</v>
      </c>
      <c r="H1" s="8">
        <v>38169</v>
      </c>
      <c r="I1" s="8">
        <v>39264</v>
      </c>
      <c r="J1" s="8">
        <v>39630</v>
      </c>
      <c r="K1" s="8">
        <v>39630</v>
      </c>
      <c r="L1" s="8">
        <v>39995</v>
      </c>
      <c r="M1" s="8">
        <v>40360</v>
      </c>
      <c r="N1" s="8">
        <v>40725</v>
      </c>
      <c r="O1" s="8">
        <v>41821</v>
      </c>
      <c r="P1" s="8">
        <v>42186</v>
      </c>
      <c r="Q1" s="8">
        <v>42552</v>
      </c>
      <c r="R1" s="8">
        <v>42917</v>
      </c>
      <c r="S1" s="8">
        <v>43282</v>
      </c>
      <c r="T1" s="8">
        <v>44378</v>
      </c>
      <c r="U1" s="8">
        <v>44743</v>
      </c>
      <c r="V1" s="8">
        <v>45108</v>
      </c>
      <c r="W1" s="8">
        <v>45474</v>
      </c>
      <c r="X1" s="8">
        <v>46935</v>
      </c>
      <c r="Y1" s="8">
        <v>47300</v>
      </c>
      <c r="Z1" s="8">
        <v>47300</v>
      </c>
      <c r="AA1" s="8">
        <v>11140</v>
      </c>
      <c r="AB1" s="8">
        <v>11505</v>
      </c>
      <c r="AC1" s="3"/>
    </row>
    <row r="2" spans="1:29" x14ac:dyDescent="0.25">
      <c r="A2" s="3" t="s">
        <v>1</v>
      </c>
      <c r="B2" s="5" t="s">
        <v>2</v>
      </c>
      <c r="C2" s="3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 t="s">
        <v>29</v>
      </c>
      <c r="AA2" s="3"/>
      <c r="AB2" s="3"/>
      <c r="AC2" s="3"/>
    </row>
    <row r="3" spans="1:29" x14ac:dyDescent="0.25">
      <c r="A3" s="1" t="s">
        <v>5</v>
      </c>
      <c r="B3" s="6" t="s">
        <v>6</v>
      </c>
      <c r="C3" s="1" t="s">
        <v>7</v>
      </c>
      <c r="D3" s="3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">
        <f>SUM(D3:AB3)</f>
        <v>3</v>
      </c>
    </row>
    <row r="4" spans="1:29" x14ac:dyDescent="0.25">
      <c r="A4" s="1" t="s">
        <v>5</v>
      </c>
      <c r="B4" s="6">
        <v>437316</v>
      </c>
      <c r="C4" s="1">
        <v>9.2027000000000001</v>
      </c>
      <c r="D4" s="3">
        <v>0</v>
      </c>
      <c r="E4" s="1"/>
      <c r="F4" s="1"/>
      <c r="G4" s="1"/>
      <c r="H4" s="1"/>
      <c r="I4" s="1"/>
      <c r="J4" s="1"/>
      <c r="K4" s="1">
        <v>11</v>
      </c>
      <c r="L4" s="1"/>
      <c r="M4" s="1"/>
      <c r="N4" s="1"/>
      <c r="O4" s="1"/>
      <c r="P4" s="1"/>
      <c r="Q4" s="1"/>
      <c r="R4" s="1">
        <v>-1</v>
      </c>
      <c r="S4" s="1"/>
      <c r="T4" s="1">
        <v>-3</v>
      </c>
      <c r="U4" s="1"/>
      <c r="V4" s="1"/>
      <c r="W4" s="1"/>
      <c r="X4" s="1"/>
      <c r="Y4" s="1"/>
      <c r="Z4" s="1"/>
      <c r="AA4" s="1"/>
      <c r="AB4" s="1"/>
      <c r="AC4" s="3">
        <f t="shared" ref="AC4:AC14" si="0">SUM(D4:AB4)</f>
        <v>7</v>
      </c>
    </row>
    <row r="5" spans="1:29" x14ac:dyDescent="0.25">
      <c r="A5" s="1" t="s">
        <v>5</v>
      </c>
      <c r="B5" s="6">
        <v>433287</v>
      </c>
      <c r="C5" s="1" t="s">
        <v>23</v>
      </c>
      <c r="D5" s="3">
        <v>13</v>
      </c>
      <c r="E5" s="1"/>
      <c r="F5" s="1"/>
      <c r="G5" s="1">
        <v>-13</v>
      </c>
      <c r="H5" s="1"/>
      <c r="I5" s="1"/>
      <c r="J5" s="1"/>
      <c r="K5" s="1">
        <v>29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3">
        <f t="shared" si="0"/>
        <v>29</v>
      </c>
    </row>
    <row r="6" spans="1:29" x14ac:dyDescent="0.25">
      <c r="A6" s="1" t="s">
        <v>8</v>
      </c>
      <c r="B6" s="6">
        <v>432635</v>
      </c>
      <c r="C6" s="1">
        <v>1.2027000000000001</v>
      </c>
      <c r="D6" s="3">
        <v>0</v>
      </c>
      <c r="E6" s="1"/>
      <c r="F6" s="1"/>
      <c r="G6" s="1"/>
      <c r="H6" s="1"/>
      <c r="I6" s="1"/>
      <c r="J6" s="1">
        <v>-4</v>
      </c>
      <c r="K6" s="1">
        <v>50</v>
      </c>
      <c r="L6" s="1">
        <v>-3</v>
      </c>
      <c r="M6" s="1">
        <v>-4</v>
      </c>
      <c r="N6" s="1">
        <v>-6</v>
      </c>
      <c r="O6" s="1">
        <v>-4</v>
      </c>
      <c r="P6" s="1"/>
      <c r="Q6" s="1">
        <v>-6</v>
      </c>
      <c r="R6" s="1">
        <v>-1</v>
      </c>
      <c r="S6" s="1"/>
      <c r="T6" s="1">
        <v>-6</v>
      </c>
      <c r="U6" s="1">
        <v>-1</v>
      </c>
      <c r="V6" s="1">
        <v>-6</v>
      </c>
      <c r="W6" s="1"/>
      <c r="X6" s="1"/>
      <c r="Y6" s="1"/>
      <c r="Z6" s="1">
        <v>20</v>
      </c>
      <c r="AA6" s="1">
        <v>-2</v>
      </c>
      <c r="AB6" s="1">
        <v>-8</v>
      </c>
      <c r="AC6" s="3">
        <f t="shared" si="0"/>
        <v>19</v>
      </c>
    </row>
    <row r="7" spans="1:29" x14ac:dyDescent="0.25">
      <c r="A7" s="1" t="s">
        <v>8</v>
      </c>
      <c r="B7" s="6">
        <v>434564</v>
      </c>
      <c r="C7" s="1" t="s">
        <v>24</v>
      </c>
      <c r="D7" s="3">
        <v>8</v>
      </c>
      <c r="E7" s="1">
        <v>-4</v>
      </c>
      <c r="F7" s="1">
        <v>-4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3">
        <f t="shared" si="0"/>
        <v>0</v>
      </c>
    </row>
    <row r="8" spans="1:29" x14ac:dyDescent="0.25">
      <c r="A8" s="1" t="s">
        <v>12</v>
      </c>
      <c r="B8" s="6" t="s">
        <v>30</v>
      </c>
      <c r="C8" s="1" t="s">
        <v>22</v>
      </c>
      <c r="D8" s="3">
        <v>33</v>
      </c>
      <c r="E8" s="1">
        <v>-6</v>
      </c>
      <c r="F8" s="1"/>
      <c r="G8" s="1">
        <v>-9</v>
      </c>
      <c r="H8" s="1"/>
      <c r="I8" s="1">
        <v>-3</v>
      </c>
      <c r="J8" s="1">
        <v>-12</v>
      </c>
      <c r="K8" s="1"/>
      <c r="L8" s="1"/>
      <c r="M8" s="1"/>
      <c r="N8" s="1"/>
      <c r="O8" s="1"/>
      <c r="P8" s="1"/>
      <c r="Q8" s="1"/>
      <c r="R8" s="1"/>
      <c r="S8" s="1">
        <v>-3</v>
      </c>
      <c r="T8" s="1"/>
      <c r="U8" s="1"/>
      <c r="V8" s="1"/>
      <c r="W8" s="1"/>
      <c r="X8" s="1"/>
      <c r="Y8" s="1"/>
      <c r="Z8" s="1"/>
      <c r="AA8" s="1"/>
      <c r="AB8" s="1"/>
      <c r="AC8" s="3">
        <f t="shared" si="0"/>
        <v>0</v>
      </c>
    </row>
    <row r="9" spans="1:29" ht="13.9" customHeight="1" x14ac:dyDescent="0.25">
      <c r="A9" s="1" t="s">
        <v>15</v>
      </c>
      <c r="B9" s="6">
        <v>436214</v>
      </c>
      <c r="C9" s="1" t="s">
        <v>32</v>
      </c>
      <c r="D9" s="3">
        <v>74</v>
      </c>
      <c r="E9" s="1">
        <v>-14</v>
      </c>
      <c r="F9" s="1">
        <v>-3</v>
      </c>
      <c r="G9" s="1">
        <v>-8</v>
      </c>
      <c r="H9" s="1">
        <v>-2</v>
      </c>
      <c r="I9" s="1"/>
      <c r="J9" s="1">
        <v>-10</v>
      </c>
      <c r="K9" s="1">
        <v>50</v>
      </c>
      <c r="L9" s="1">
        <v>-11</v>
      </c>
      <c r="M9" s="1">
        <v>-2</v>
      </c>
      <c r="N9" s="1">
        <v>-18</v>
      </c>
      <c r="O9" s="1">
        <v>-9</v>
      </c>
      <c r="P9" s="1">
        <v>-2</v>
      </c>
      <c r="Q9" s="1"/>
      <c r="R9" s="1">
        <v>-8</v>
      </c>
      <c r="S9" s="1"/>
      <c r="T9" s="1">
        <v>-6</v>
      </c>
      <c r="U9" s="1">
        <v>-24</v>
      </c>
      <c r="V9" s="1"/>
      <c r="W9" s="1">
        <v>-1</v>
      </c>
      <c r="X9" s="1">
        <v>-6</v>
      </c>
      <c r="Y9" s="1"/>
      <c r="Z9" s="1">
        <v>40</v>
      </c>
      <c r="AA9" s="1"/>
      <c r="AB9" s="1"/>
      <c r="AC9" s="3">
        <f t="shared" si="0"/>
        <v>40</v>
      </c>
    </row>
    <row r="10" spans="1:29" x14ac:dyDescent="0.25">
      <c r="A10" s="1" t="s">
        <v>15</v>
      </c>
      <c r="B10" s="6">
        <v>431322</v>
      </c>
      <c r="C10" s="1" t="s">
        <v>20</v>
      </c>
      <c r="D10" s="3"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3">
        <f t="shared" si="0"/>
        <v>0</v>
      </c>
    </row>
    <row r="11" spans="1:29" x14ac:dyDescent="0.25">
      <c r="A11" s="1" t="s">
        <v>12</v>
      </c>
      <c r="B11" s="6" t="s">
        <v>35</v>
      </c>
      <c r="C11" s="9" t="s">
        <v>36</v>
      </c>
      <c r="D11" s="3">
        <v>0</v>
      </c>
      <c r="E11" s="1"/>
      <c r="F11" s="1"/>
      <c r="G11" s="1"/>
      <c r="H11" s="1"/>
      <c r="I11" s="1"/>
      <c r="J11" s="1"/>
      <c r="K11" s="1">
        <v>40</v>
      </c>
      <c r="L11" s="1"/>
      <c r="M11" s="1"/>
      <c r="N11" s="1"/>
      <c r="O11" s="1">
        <v>-11</v>
      </c>
      <c r="P11" s="1">
        <v>-6</v>
      </c>
      <c r="Q11" s="1">
        <v>-5</v>
      </c>
      <c r="R11" s="1">
        <v>-10</v>
      </c>
      <c r="S11" s="1">
        <v>-8</v>
      </c>
      <c r="T11" s="1"/>
      <c r="U11" s="1"/>
      <c r="V11" s="1"/>
      <c r="W11" s="1"/>
      <c r="X11" s="1"/>
      <c r="Y11" s="1"/>
      <c r="Z11" s="1">
        <v>30</v>
      </c>
      <c r="AA11" s="1"/>
      <c r="AB11" s="1">
        <v>-20</v>
      </c>
      <c r="AC11" s="3">
        <f t="shared" si="0"/>
        <v>10</v>
      </c>
    </row>
    <row r="12" spans="1:29" x14ac:dyDescent="0.25">
      <c r="A12" s="1" t="s">
        <v>12</v>
      </c>
      <c r="B12" s="6" t="s">
        <v>21</v>
      </c>
      <c r="C12" s="1" t="s">
        <v>22</v>
      </c>
      <c r="D12" s="3"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3">
        <f t="shared" si="0"/>
        <v>0</v>
      </c>
    </row>
    <row r="13" spans="1:29" x14ac:dyDescent="0.25">
      <c r="A13" s="1" t="s">
        <v>27</v>
      </c>
      <c r="B13" s="6" t="s">
        <v>28</v>
      </c>
      <c r="C13" s="4" t="s">
        <v>33</v>
      </c>
      <c r="D13" s="3">
        <v>49</v>
      </c>
      <c r="E13" s="1"/>
      <c r="F13" s="1"/>
      <c r="G13" s="1"/>
      <c r="H13" s="1">
        <v>-2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-10</v>
      </c>
      <c r="T13" s="1">
        <v>-5</v>
      </c>
      <c r="U13" s="1"/>
      <c r="V13" s="1"/>
      <c r="W13" s="1"/>
      <c r="X13" s="1">
        <v>-6</v>
      </c>
      <c r="Y13" s="1">
        <v>-6</v>
      </c>
      <c r="Z13" s="1"/>
      <c r="AA13" s="1">
        <v>-10</v>
      </c>
      <c r="AB13" s="1"/>
      <c r="AC13" s="3">
        <f t="shared" si="0"/>
        <v>10</v>
      </c>
    </row>
    <row r="14" spans="1:29" x14ac:dyDescent="0.25">
      <c r="A14" s="3" t="s">
        <v>18</v>
      </c>
      <c r="B14" s="5"/>
      <c r="C14" s="3"/>
      <c r="D14" s="3">
        <v>180</v>
      </c>
      <c r="E14" s="3">
        <f>SUM(E3:E13)</f>
        <v>-24</v>
      </c>
      <c r="F14" s="3">
        <f t="shared" ref="F14:AB14" si="1">SUM(F3:F13)</f>
        <v>-7</v>
      </c>
      <c r="G14" s="3">
        <f t="shared" si="1"/>
        <v>-30</v>
      </c>
      <c r="H14" s="3">
        <f t="shared" si="1"/>
        <v>-4</v>
      </c>
      <c r="I14" s="3">
        <f t="shared" si="1"/>
        <v>-3</v>
      </c>
      <c r="J14" s="3">
        <f t="shared" si="1"/>
        <v>-26</v>
      </c>
      <c r="K14" s="3">
        <f t="shared" si="1"/>
        <v>180</v>
      </c>
      <c r="L14" s="3">
        <f t="shared" si="1"/>
        <v>-14</v>
      </c>
      <c r="M14" s="3">
        <f t="shared" si="1"/>
        <v>-6</v>
      </c>
      <c r="N14" s="3">
        <f t="shared" si="1"/>
        <v>-24</v>
      </c>
      <c r="O14" s="3">
        <f t="shared" si="1"/>
        <v>-24</v>
      </c>
      <c r="P14" s="3">
        <f t="shared" si="1"/>
        <v>-8</v>
      </c>
      <c r="Q14" s="3">
        <f t="shared" si="1"/>
        <v>-11</v>
      </c>
      <c r="R14" s="3">
        <f t="shared" si="1"/>
        <v>-20</v>
      </c>
      <c r="S14" s="3">
        <f t="shared" si="1"/>
        <v>-21</v>
      </c>
      <c r="T14" s="3">
        <f t="shared" si="1"/>
        <v>-20</v>
      </c>
      <c r="U14" s="3">
        <f t="shared" si="1"/>
        <v>-25</v>
      </c>
      <c r="V14" s="3">
        <f t="shared" si="1"/>
        <v>-6</v>
      </c>
      <c r="W14" s="3">
        <f t="shared" si="1"/>
        <v>-1</v>
      </c>
      <c r="X14" s="3">
        <f t="shared" si="1"/>
        <v>-12</v>
      </c>
      <c r="Y14" s="3">
        <f t="shared" si="1"/>
        <v>-6</v>
      </c>
      <c r="Z14" s="3">
        <f t="shared" si="1"/>
        <v>90</v>
      </c>
      <c r="AA14" s="3">
        <f t="shared" si="1"/>
        <v>-12</v>
      </c>
      <c r="AB14" s="3">
        <f t="shared" si="1"/>
        <v>-28</v>
      </c>
      <c r="AC14" s="3">
        <f t="shared" si="0"/>
        <v>118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"/>
  <sheetViews>
    <sheetView tabSelected="1" workbookViewId="0">
      <selection activeCell="B10" sqref="B10"/>
    </sheetView>
  </sheetViews>
  <sheetFormatPr defaultRowHeight="15" x14ac:dyDescent="0.25"/>
  <cols>
    <col min="1" max="1" width="32.7109375" bestFit="1" customWidth="1"/>
    <col min="3" max="3" width="10.28515625" bestFit="1" customWidth="1"/>
  </cols>
  <sheetData>
    <row r="1" spans="1:20" x14ac:dyDescent="0.25">
      <c r="A1" s="14" t="s">
        <v>0</v>
      </c>
      <c r="B1" s="14"/>
      <c r="C1" s="14"/>
      <c r="D1" s="1"/>
      <c r="E1" s="2">
        <v>38200</v>
      </c>
      <c r="F1" s="2">
        <v>38565</v>
      </c>
      <c r="G1" s="2">
        <v>38930</v>
      </c>
      <c r="H1" s="2">
        <v>39295</v>
      </c>
      <c r="I1" s="2">
        <v>40756</v>
      </c>
      <c r="J1" s="2">
        <v>41122</v>
      </c>
      <c r="K1" s="2">
        <v>41487</v>
      </c>
      <c r="L1" s="2">
        <v>41852</v>
      </c>
      <c r="M1" s="2">
        <v>46235</v>
      </c>
      <c r="N1" s="2">
        <v>46600</v>
      </c>
      <c r="O1" s="2">
        <v>46600</v>
      </c>
      <c r="P1" s="2">
        <v>46600</v>
      </c>
      <c r="Q1" s="2">
        <v>46966</v>
      </c>
      <c r="R1" s="2">
        <v>47331</v>
      </c>
      <c r="S1" s="2"/>
      <c r="T1" s="1"/>
    </row>
    <row r="2" spans="1:20" x14ac:dyDescent="0.25">
      <c r="A2" s="3" t="s">
        <v>1</v>
      </c>
      <c r="B2" s="5" t="s">
        <v>2</v>
      </c>
      <c r="C2" s="3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 t="s">
        <v>29</v>
      </c>
      <c r="P2" s="3" t="s">
        <v>38</v>
      </c>
      <c r="Q2" s="3"/>
      <c r="R2" s="3"/>
      <c r="S2" s="3"/>
      <c r="T2" s="3"/>
    </row>
    <row r="3" spans="1:20" x14ac:dyDescent="0.25">
      <c r="A3" s="1" t="s">
        <v>5</v>
      </c>
      <c r="B3" s="6" t="s">
        <v>6</v>
      </c>
      <c r="C3" s="1" t="s">
        <v>7</v>
      </c>
      <c r="D3" s="3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3">
        <f>SUM(D3:S3)</f>
        <v>3</v>
      </c>
    </row>
    <row r="4" spans="1:20" x14ac:dyDescent="0.25">
      <c r="A4" s="1" t="s">
        <v>5</v>
      </c>
      <c r="B4" s="6">
        <v>437316</v>
      </c>
      <c r="C4" s="1">
        <v>9.2027000000000001</v>
      </c>
      <c r="D4" s="3">
        <v>7</v>
      </c>
      <c r="E4" s="1">
        <v>-3</v>
      </c>
      <c r="F4" s="1"/>
      <c r="G4" s="1"/>
      <c r="H4" s="1">
        <v>-4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3">
        <f t="shared" ref="T4:T13" si="0">SUM(D4:S4)</f>
        <v>0</v>
      </c>
    </row>
    <row r="5" spans="1:20" x14ac:dyDescent="0.25">
      <c r="A5" s="1" t="s">
        <v>5</v>
      </c>
      <c r="B5" s="6">
        <v>433287</v>
      </c>
      <c r="C5" s="1" t="s">
        <v>23</v>
      </c>
      <c r="D5" s="3">
        <v>29</v>
      </c>
      <c r="E5" s="1"/>
      <c r="F5" s="1"/>
      <c r="G5" s="1"/>
      <c r="H5" s="1"/>
      <c r="I5" s="1"/>
      <c r="J5" s="1"/>
      <c r="K5" s="1">
        <v>-3</v>
      </c>
      <c r="L5" s="1"/>
      <c r="M5" s="1"/>
      <c r="N5" s="1"/>
      <c r="O5" s="1"/>
      <c r="P5" s="1"/>
      <c r="Q5" s="1">
        <v>-2</v>
      </c>
      <c r="R5" s="1"/>
      <c r="S5" s="1"/>
      <c r="T5" s="3">
        <f t="shared" si="0"/>
        <v>24</v>
      </c>
    </row>
    <row r="6" spans="1:20" x14ac:dyDescent="0.25">
      <c r="A6" s="1" t="s">
        <v>8</v>
      </c>
      <c r="B6" s="6">
        <v>432635</v>
      </c>
      <c r="C6" s="1">
        <v>1.2027000000000001</v>
      </c>
      <c r="D6" s="3">
        <v>19</v>
      </c>
      <c r="E6" s="1"/>
      <c r="F6" s="1"/>
      <c r="G6" s="1"/>
      <c r="H6" s="1">
        <v>-9</v>
      </c>
      <c r="I6" s="1"/>
      <c r="J6" s="1">
        <v>-7</v>
      </c>
      <c r="K6" s="1"/>
      <c r="L6" s="1"/>
      <c r="M6" s="1"/>
      <c r="N6" s="1"/>
      <c r="O6" s="1"/>
      <c r="P6" s="1"/>
      <c r="Q6" s="1"/>
      <c r="R6" s="1"/>
      <c r="S6" s="1"/>
      <c r="T6" s="3">
        <f t="shared" si="0"/>
        <v>3</v>
      </c>
    </row>
    <row r="7" spans="1:20" x14ac:dyDescent="0.25">
      <c r="A7" s="1" t="s">
        <v>15</v>
      </c>
      <c r="B7" s="6">
        <v>436214</v>
      </c>
      <c r="C7" s="1" t="s">
        <v>32</v>
      </c>
      <c r="D7" s="3">
        <v>40</v>
      </c>
      <c r="E7" s="1">
        <v>-2</v>
      </c>
      <c r="F7" s="1">
        <v>-13</v>
      </c>
      <c r="G7" s="1">
        <v>-1</v>
      </c>
      <c r="H7" s="1"/>
      <c r="I7" s="1"/>
      <c r="J7" s="1">
        <v>-4</v>
      </c>
      <c r="K7" s="1">
        <v>-8</v>
      </c>
      <c r="L7" s="1">
        <v>-2</v>
      </c>
      <c r="M7" s="1">
        <v>-4</v>
      </c>
      <c r="N7" s="1">
        <v>-6</v>
      </c>
      <c r="O7" s="1">
        <v>100</v>
      </c>
      <c r="P7" s="1"/>
      <c r="Q7" s="1">
        <v>-3</v>
      </c>
      <c r="R7" s="1">
        <v>-4</v>
      </c>
      <c r="S7" s="1"/>
      <c r="T7" s="3">
        <f t="shared" si="0"/>
        <v>93</v>
      </c>
    </row>
    <row r="8" spans="1:20" x14ac:dyDescent="0.25">
      <c r="A8" s="1" t="s">
        <v>12</v>
      </c>
      <c r="B8" s="6" t="s">
        <v>37</v>
      </c>
      <c r="C8" s="1">
        <v>10.2029</v>
      </c>
      <c r="D8" s="3"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>
        <v>40</v>
      </c>
      <c r="P8" s="1"/>
      <c r="Q8" s="1"/>
      <c r="R8" s="1"/>
      <c r="S8" s="1"/>
      <c r="T8" s="3">
        <f t="shared" si="0"/>
        <v>40</v>
      </c>
    </row>
    <row r="9" spans="1:20" x14ac:dyDescent="0.25">
      <c r="A9" s="1" t="s">
        <v>12</v>
      </c>
      <c r="B9" s="6" t="s">
        <v>35</v>
      </c>
      <c r="C9" s="9" t="s">
        <v>36</v>
      </c>
      <c r="D9" s="3">
        <v>10</v>
      </c>
      <c r="E9" s="1"/>
      <c r="F9" s="1"/>
      <c r="G9" s="1">
        <v>-4</v>
      </c>
      <c r="H9" s="1"/>
      <c r="I9" s="1">
        <v>-5</v>
      </c>
      <c r="J9" s="1"/>
      <c r="K9" s="1"/>
      <c r="L9" s="1"/>
      <c r="M9" s="1"/>
      <c r="N9" s="1"/>
      <c r="O9" s="1"/>
      <c r="P9" s="1"/>
      <c r="Q9" s="1"/>
      <c r="R9" s="1"/>
      <c r="S9" s="1"/>
      <c r="T9" s="3">
        <f t="shared" si="0"/>
        <v>1</v>
      </c>
    </row>
    <row r="10" spans="1:20" x14ac:dyDescent="0.25">
      <c r="A10" s="1" t="s">
        <v>39</v>
      </c>
      <c r="B10" s="10" t="s">
        <v>40</v>
      </c>
      <c r="C10" s="11">
        <v>2.2027000000000001</v>
      </c>
      <c r="D10" s="3"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20</v>
      </c>
      <c r="Q10" s="1"/>
      <c r="R10" s="1"/>
      <c r="S10" s="1"/>
      <c r="T10" s="3">
        <f t="shared" si="0"/>
        <v>20</v>
      </c>
    </row>
    <row r="11" spans="1:20" x14ac:dyDescent="0.25">
      <c r="A11" s="1" t="s">
        <v>41</v>
      </c>
      <c r="B11" s="12" t="s">
        <v>42</v>
      </c>
      <c r="C11" s="11">
        <v>4.2699999999999996</v>
      </c>
      <c r="D11" s="3"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20</v>
      </c>
      <c r="Q11" s="1"/>
      <c r="R11" s="1"/>
      <c r="S11" s="1"/>
      <c r="T11" s="3">
        <f t="shared" si="0"/>
        <v>20</v>
      </c>
    </row>
    <row r="12" spans="1:20" x14ac:dyDescent="0.25">
      <c r="A12" s="1" t="s">
        <v>27</v>
      </c>
      <c r="B12" s="6" t="s">
        <v>28</v>
      </c>
      <c r="C12" s="4" t="s">
        <v>33</v>
      </c>
      <c r="D12" s="3">
        <v>10</v>
      </c>
      <c r="E12" s="1">
        <v>-10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3">
        <f t="shared" si="0"/>
        <v>0</v>
      </c>
    </row>
    <row r="13" spans="1:20" x14ac:dyDescent="0.25">
      <c r="A13" s="3" t="s">
        <v>18</v>
      </c>
      <c r="B13" s="5"/>
      <c r="C13" s="3"/>
      <c r="D13" s="3">
        <v>118</v>
      </c>
      <c r="E13" s="3">
        <f t="shared" ref="E13:S13" si="1">SUM(E3:E12)</f>
        <v>-15</v>
      </c>
      <c r="F13" s="3">
        <f t="shared" si="1"/>
        <v>-13</v>
      </c>
      <c r="G13" s="3">
        <f t="shared" si="1"/>
        <v>-5</v>
      </c>
      <c r="H13" s="3">
        <f t="shared" si="1"/>
        <v>-13</v>
      </c>
      <c r="I13" s="3">
        <f t="shared" si="1"/>
        <v>-5</v>
      </c>
      <c r="J13" s="3">
        <f t="shared" si="1"/>
        <v>-11</v>
      </c>
      <c r="K13" s="3">
        <f t="shared" si="1"/>
        <v>-11</v>
      </c>
      <c r="L13" s="3">
        <f t="shared" si="1"/>
        <v>-2</v>
      </c>
      <c r="M13" s="3">
        <f t="shared" si="1"/>
        <v>-4</v>
      </c>
      <c r="N13" s="3">
        <f t="shared" si="1"/>
        <v>-6</v>
      </c>
      <c r="O13" s="3">
        <f t="shared" si="1"/>
        <v>140</v>
      </c>
      <c r="P13" s="3">
        <f t="shared" si="1"/>
        <v>40</v>
      </c>
      <c r="Q13" s="3">
        <f t="shared" si="1"/>
        <v>-5</v>
      </c>
      <c r="R13" s="3">
        <f t="shared" si="1"/>
        <v>-4</v>
      </c>
      <c r="S13" s="3">
        <f t="shared" si="1"/>
        <v>0</v>
      </c>
      <c r="T13" s="3">
        <f t="shared" si="0"/>
        <v>204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3"/>
  <sheetViews>
    <sheetView workbookViewId="0">
      <selection activeCell="A3" sqref="A3:XFD3"/>
    </sheetView>
  </sheetViews>
  <sheetFormatPr defaultRowHeight="15" x14ac:dyDescent="0.25"/>
  <cols>
    <col min="1" max="1" width="32.7109375" bestFit="1" customWidth="1"/>
    <col min="3" max="3" width="10" customWidth="1"/>
  </cols>
  <sheetData>
    <row r="1" spans="1:19" x14ac:dyDescent="0.25">
      <c r="A1" s="14" t="s">
        <v>0</v>
      </c>
      <c r="B1" s="14"/>
      <c r="C1" s="14"/>
      <c r="D1" s="1"/>
      <c r="E1" s="2">
        <v>37135</v>
      </c>
      <c r="F1" s="2">
        <v>37865</v>
      </c>
      <c r="G1" s="2">
        <v>37865</v>
      </c>
      <c r="H1" s="2">
        <v>38231</v>
      </c>
      <c r="I1" s="2">
        <v>38596</v>
      </c>
      <c r="J1" s="2">
        <v>39692</v>
      </c>
      <c r="K1" s="2">
        <v>40057</v>
      </c>
      <c r="L1" s="2">
        <v>40422</v>
      </c>
      <c r="M1" s="2">
        <v>40787</v>
      </c>
      <c r="N1" s="2">
        <v>41153</v>
      </c>
      <c r="O1" s="2">
        <v>42248</v>
      </c>
      <c r="P1" s="2">
        <v>42614</v>
      </c>
      <c r="Q1" s="2">
        <v>42979</v>
      </c>
      <c r="R1" s="1"/>
      <c r="S1" s="1"/>
    </row>
    <row r="2" spans="1:19" x14ac:dyDescent="0.25">
      <c r="A2" s="3" t="s">
        <v>1</v>
      </c>
      <c r="B2" s="5" t="s">
        <v>2</v>
      </c>
      <c r="C2" s="3" t="s">
        <v>3</v>
      </c>
      <c r="D2" s="3"/>
      <c r="E2" s="3"/>
      <c r="F2" s="3"/>
      <c r="G2" s="3" t="s">
        <v>19</v>
      </c>
      <c r="H2" s="3"/>
      <c r="I2" s="3"/>
      <c r="J2" s="3"/>
      <c r="K2" s="3"/>
      <c r="L2" s="3"/>
      <c r="M2" s="3"/>
      <c r="N2" s="3"/>
      <c r="O2" s="3"/>
      <c r="P2" s="3"/>
      <c r="Q2" s="3" t="s">
        <v>25</v>
      </c>
      <c r="R2" s="3"/>
      <c r="S2" s="3"/>
    </row>
    <row r="3" spans="1:19" x14ac:dyDescent="0.25">
      <c r="A3" s="1" t="s">
        <v>5</v>
      </c>
      <c r="B3" s="6" t="s">
        <v>6</v>
      </c>
      <c r="C3" s="1" t="s">
        <v>7</v>
      </c>
      <c r="D3" s="3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">
        <f>SUM(D3:R3)</f>
        <v>3</v>
      </c>
    </row>
    <row r="4" spans="1:19" x14ac:dyDescent="0.25">
      <c r="A4" s="1" t="s">
        <v>5</v>
      </c>
      <c r="B4" s="6">
        <v>437316</v>
      </c>
      <c r="C4" s="1">
        <v>9.2027000000000001</v>
      </c>
      <c r="D4" s="3">
        <v>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">
        <f t="shared" ref="S4:S13" si="0">SUM(D4:R4)</f>
        <v>0</v>
      </c>
    </row>
    <row r="5" spans="1:19" ht="15" customHeight="1" x14ac:dyDescent="0.25">
      <c r="A5" s="1" t="s">
        <v>5</v>
      </c>
      <c r="B5" s="6">
        <v>433287</v>
      </c>
      <c r="C5" s="1" t="s">
        <v>23</v>
      </c>
      <c r="D5" s="3">
        <v>24</v>
      </c>
      <c r="E5" s="1"/>
      <c r="F5" s="1"/>
      <c r="G5" s="1"/>
      <c r="H5" s="1"/>
      <c r="I5" s="1">
        <v>-12</v>
      </c>
      <c r="J5" s="1"/>
      <c r="K5" s="1"/>
      <c r="L5" s="1"/>
      <c r="M5" s="1"/>
      <c r="N5" s="1"/>
      <c r="O5" s="1">
        <v>-8</v>
      </c>
      <c r="P5" s="1"/>
      <c r="Q5" s="1">
        <v>7</v>
      </c>
      <c r="R5" s="1"/>
      <c r="S5" s="3">
        <f t="shared" si="0"/>
        <v>11</v>
      </c>
    </row>
    <row r="6" spans="1:19" x14ac:dyDescent="0.25">
      <c r="A6" s="1" t="s">
        <v>8</v>
      </c>
      <c r="B6" s="6">
        <v>434564</v>
      </c>
      <c r="C6" s="1">
        <v>7.2027000000000001</v>
      </c>
      <c r="D6" s="3">
        <v>0</v>
      </c>
      <c r="E6" s="1"/>
      <c r="F6" s="1"/>
      <c r="G6" s="1">
        <v>16</v>
      </c>
      <c r="H6" s="1">
        <v>-3</v>
      </c>
      <c r="I6" s="1"/>
      <c r="J6" s="1">
        <v>-5</v>
      </c>
      <c r="K6" s="1"/>
      <c r="L6" s="1">
        <v>-2</v>
      </c>
      <c r="M6" s="1">
        <v>-4</v>
      </c>
      <c r="N6" s="1"/>
      <c r="O6" s="1"/>
      <c r="P6" s="1">
        <v>-2</v>
      </c>
      <c r="Q6" s="1">
        <v>2</v>
      </c>
      <c r="R6" s="1"/>
      <c r="S6" s="3">
        <f t="shared" si="0"/>
        <v>2</v>
      </c>
    </row>
    <row r="7" spans="1:19" x14ac:dyDescent="0.25">
      <c r="A7" s="1" t="s">
        <v>8</v>
      </c>
      <c r="B7" s="6">
        <v>432635</v>
      </c>
      <c r="C7" s="1">
        <v>1.2027000000000001</v>
      </c>
      <c r="D7" s="3">
        <v>3</v>
      </c>
      <c r="E7" s="1"/>
      <c r="F7" s="1"/>
      <c r="G7" s="1">
        <v>34</v>
      </c>
      <c r="H7" s="1"/>
      <c r="I7" s="1">
        <v>-2</v>
      </c>
      <c r="J7" s="1"/>
      <c r="K7" s="1"/>
      <c r="L7" s="1"/>
      <c r="M7" s="1"/>
      <c r="N7" s="1"/>
      <c r="O7" s="1"/>
      <c r="P7" s="1">
        <v>-14</v>
      </c>
      <c r="Q7" s="1"/>
      <c r="R7" s="1"/>
      <c r="S7" s="3">
        <f t="shared" si="0"/>
        <v>21</v>
      </c>
    </row>
    <row r="8" spans="1:19" x14ac:dyDescent="0.25">
      <c r="A8" s="1" t="s">
        <v>15</v>
      </c>
      <c r="B8" s="6">
        <v>436214</v>
      </c>
      <c r="C8" s="1" t="s">
        <v>32</v>
      </c>
      <c r="D8" s="3">
        <v>93</v>
      </c>
      <c r="E8" s="1">
        <v>-10</v>
      </c>
      <c r="F8" s="1">
        <v>-6</v>
      </c>
      <c r="G8" s="1"/>
      <c r="H8" s="1">
        <v>-17</v>
      </c>
      <c r="I8" s="1">
        <v>-8</v>
      </c>
      <c r="J8" s="1">
        <v>-17</v>
      </c>
      <c r="K8" s="1">
        <v>-2</v>
      </c>
      <c r="L8" s="1">
        <v>-5</v>
      </c>
      <c r="M8" s="1">
        <v>-2</v>
      </c>
      <c r="N8" s="1">
        <v>-19</v>
      </c>
      <c r="O8" s="1">
        <v>-6</v>
      </c>
      <c r="P8" s="13">
        <v>-4</v>
      </c>
      <c r="Q8" s="1"/>
      <c r="R8" s="1"/>
      <c r="S8" s="3">
        <f t="shared" si="0"/>
        <v>-3</v>
      </c>
    </row>
    <row r="9" spans="1:19" x14ac:dyDescent="0.25">
      <c r="A9" s="1" t="s">
        <v>12</v>
      </c>
      <c r="B9" s="6" t="s">
        <v>37</v>
      </c>
      <c r="C9" s="1">
        <v>10.2029</v>
      </c>
      <c r="D9" s="3">
        <v>40</v>
      </c>
      <c r="E9" s="1"/>
      <c r="F9" s="1">
        <v>-3</v>
      </c>
      <c r="G9" s="1"/>
      <c r="H9" s="1"/>
      <c r="I9" s="1"/>
      <c r="J9" s="1"/>
      <c r="K9" s="1"/>
      <c r="L9" s="1"/>
      <c r="M9" s="1">
        <v>-3</v>
      </c>
      <c r="N9" s="1">
        <v>-11</v>
      </c>
      <c r="O9" s="1"/>
      <c r="P9" s="1"/>
      <c r="Q9" s="1"/>
      <c r="R9" s="1"/>
      <c r="S9" s="3">
        <f t="shared" si="0"/>
        <v>23</v>
      </c>
    </row>
    <row r="10" spans="1:19" x14ac:dyDescent="0.25">
      <c r="A10" s="1" t="s">
        <v>12</v>
      </c>
      <c r="B10" s="6" t="s">
        <v>30</v>
      </c>
      <c r="C10" s="1" t="s">
        <v>22</v>
      </c>
      <c r="D10" s="3"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6</v>
      </c>
      <c r="R10" s="1"/>
      <c r="S10" s="3">
        <f t="shared" si="0"/>
        <v>6</v>
      </c>
    </row>
    <row r="11" spans="1:19" x14ac:dyDescent="0.25">
      <c r="A11" s="1" t="s">
        <v>12</v>
      </c>
      <c r="B11" s="6" t="s">
        <v>35</v>
      </c>
      <c r="C11" s="9" t="s">
        <v>36</v>
      </c>
      <c r="D11" s="3">
        <v>1</v>
      </c>
      <c r="E11" s="1">
        <v>-1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>
        <f t="shared" si="0"/>
        <v>0</v>
      </c>
    </row>
    <row r="12" spans="1:19" x14ac:dyDescent="0.25">
      <c r="A12" s="1" t="s">
        <v>27</v>
      </c>
      <c r="B12" s="6" t="s">
        <v>43</v>
      </c>
      <c r="C12" s="1">
        <v>5.2027000000000001</v>
      </c>
      <c r="D12" s="3">
        <v>0</v>
      </c>
      <c r="E12" s="1"/>
      <c r="F12" s="1"/>
      <c r="G12" s="1">
        <v>50</v>
      </c>
      <c r="H12" s="1"/>
      <c r="I12" s="1"/>
      <c r="J12" s="1">
        <v>-16</v>
      </c>
      <c r="K12" s="1">
        <v>-6</v>
      </c>
      <c r="L12" s="1">
        <v>-10</v>
      </c>
      <c r="M12" s="1"/>
      <c r="N12" s="1"/>
      <c r="O12" s="1">
        <v>-10</v>
      </c>
      <c r="P12" s="1">
        <v>-8</v>
      </c>
      <c r="Q12" s="1"/>
      <c r="R12" s="1"/>
      <c r="S12" s="3">
        <f t="shared" si="0"/>
        <v>0</v>
      </c>
    </row>
    <row r="13" spans="1:19" x14ac:dyDescent="0.25">
      <c r="A13" s="3" t="s">
        <v>18</v>
      </c>
      <c r="B13" s="5"/>
      <c r="C13" s="3"/>
      <c r="D13" s="3">
        <v>204</v>
      </c>
      <c r="E13" s="3">
        <f t="shared" ref="E13:R13" si="1">SUM(E3:E12)</f>
        <v>-11</v>
      </c>
      <c r="F13" s="3">
        <f t="shared" si="1"/>
        <v>-9</v>
      </c>
      <c r="G13" s="3">
        <f t="shared" si="1"/>
        <v>100</v>
      </c>
      <c r="H13" s="3">
        <f t="shared" si="1"/>
        <v>-20</v>
      </c>
      <c r="I13" s="3">
        <f t="shared" si="1"/>
        <v>-22</v>
      </c>
      <c r="J13" s="3">
        <f t="shared" si="1"/>
        <v>-38</v>
      </c>
      <c r="K13" s="3">
        <f t="shared" si="1"/>
        <v>-8</v>
      </c>
      <c r="L13" s="3">
        <f t="shared" si="1"/>
        <v>-17</v>
      </c>
      <c r="M13" s="3">
        <f t="shared" si="1"/>
        <v>-9</v>
      </c>
      <c r="N13" s="3">
        <f t="shared" si="1"/>
        <v>-30</v>
      </c>
      <c r="O13" s="3">
        <f t="shared" si="1"/>
        <v>-24</v>
      </c>
      <c r="P13" s="3">
        <f t="shared" si="1"/>
        <v>-28</v>
      </c>
      <c r="Q13" s="3">
        <f t="shared" si="1"/>
        <v>15</v>
      </c>
      <c r="R13" s="3">
        <f t="shared" si="1"/>
        <v>0</v>
      </c>
      <c r="S13" s="3">
        <f t="shared" si="0"/>
        <v>103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88ae0a-9518-4d5e-a10c-fe8fcade8e33" xsi:nil="true"/>
    <lcf76f155ced4ddcb4097134ff3c332f xmlns="646ceb7f-5622-4977-9a88-d656367215f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9DEF58B6F7E8409D31306DAEFB7508" ma:contentTypeVersion="11" ma:contentTypeDescription="Create a new document." ma:contentTypeScope="" ma:versionID="61744ba78eb27067794ba1ebc613fed2">
  <xsd:schema xmlns:xsd="http://www.w3.org/2001/XMLSchema" xmlns:xs="http://www.w3.org/2001/XMLSchema" xmlns:p="http://schemas.microsoft.com/office/2006/metadata/properties" xmlns:ns2="646ceb7f-5622-4977-9a88-d656367215f4" xmlns:ns3="3888ae0a-9518-4d5e-a10c-fe8fcade8e33" targetNamespace="http://schemas.microsoft.com/office/2006/metadata/properties" ma:root="true" ma:fieldsID="3931a8ec306cbb3af88e535c11a80359" ns2:_="" ns3:_="">
    <xsd:import namespace="646ceb7f-5622-4977-9a88-d656367215f4"/>
    <xsd:import namespace="3888ae0a-9518-4d5e-a10c-fe8fcade8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ceb7f-5622-4977-9a88-d65636721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232ddf-b408-439d-b3c5-eb4ffafe3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8ae0a-9518-4d5e-a10c-fe8fcade8e3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c56a83-8a55-485d-87e5-577a4ca93881}" ma:internalName="TaxCatchAll" ma:showField="CatchAllData" ma:web="3888ae0a-9518-4d5e-a10c-fe8fcade8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A4B220-7542-47E2-9F05-C7E81AB2D36E}">
  <ds:schemaRefs>
    <ds:schemaRef ds:uri="http://schemas.microsoft.com/office/2006/metadata/properties"/>
    <ds:schemaRef ds:uri="http://schemas.microsoft.com/office/infopath/2007/PartnerControls"/>
    <ds:schemaRef ds:uri="3888ae0a-9518-4d5e-a10c-fe8fcade8e33"/>
    <ds:schemaRef ds:uri="646ceb7f-5622-4977-9a88-d656367215f4"/>
  </ds:schemaRefs>
</ds:datastoreItem>
</file>

<file path=customXml/itemProps2.xml><?xml version="1.0" encoding="utf-8"?>
<ds:datastoreItem xmlns:ds="http://schemas.openxmlformats.org/officeDocument/2006/customXml" ds:itemID="{DE3DF746-F674-44E0-86B1-EFF20E6F8A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B05FE1-6D21-4361-A221-9CBCB8D444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April</vt:lpstr>
      <vt:lpstr>May</vt:lpstr>
      <vt:lpstr>Jun</vt:lpstr>
      <vt:lpstr>July</vt:lpstr>
      <vt:lpstr>August </vt:lpstr>
      <vt:lpstr>September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csorba</dc:creator>
  <cp:lastModifiedBy>Eniko Virag</cp:lastModifiedBy>
  <dcterms:created xsi:type="dcterms:W3CDTF">2025-04-17T09:33:12Z</dcterms:created>
  <dcterms:modified xsi:type="dcterms:W3CDTF">2026-03-23T09:31:29Z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0x010100569DEF58B6F7E8409D31306DAEFB7508</vt:lpwstr>
  </property>
  <property fmtid="{D5CDD505-2E9C-101B-9397-08002B2CF9AE}" pid="3" name="Order">
    <vt:r8>812800</vt:r8>
  </property>
  <property fmtid="{D5CDD505-2E9C-101B-9397-08002B2CF9AE}" pid="4" name="MediaServiceImageTags">
    <vt:lpwstr/>
  </property>
</Properties>
</file>