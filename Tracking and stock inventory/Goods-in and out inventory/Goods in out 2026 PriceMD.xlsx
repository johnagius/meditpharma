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pharmaconsultamt.sharepoint.com/sites/Meditpharma/Meditpharma Warehouse/Shipping Documents/Meditpharma/Goods In/New folder/Price MD/"/>
    </mc:Choice>
  </mc:AlternateContent>
  <xr:revisionPtr revIDLastSave="272" documentId="11_F25DC773A252ABDACC104863399B51E25BDE58E8" xr6:coauthVersionLast="47" xr6:coauthVersionMax="47" xr10:uidLastSave="{83FF1DA3-AB4B-45A4-A45A-522EFDC63A1B}"/>
  <bookViews>
    <workbookView xWindow="-120" yWindow="-120" windowWidth="20730" windowHeight="11040" activeTab="1" xr2:uid="{00000000-000D-0000-FFFF-FFFF00000000}"/>
  </bookViews>
  <sheets>
    <sheet name="April" sheetId="1" r:id="rId1"/>
    <sheet name="May" sheetId="2" r:id="rId2"/>
  </sheets>
  <definedNames>
    <definedName name="_xlnm.Print_Area" localSheetId="1">May!$A$1:$V$30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9" i="2" l="1"/>
  <c r="M30" i="2"/>
  <c r="N30" i="2"/>
  <c r="O30" i="2"/>
  <c r="P30" i="2"/>
  <c r="Q30" i="2"/>
  <c r="R30" i="2"/>
  <c r="S30" i="2"/>
  <c r="T30" i="2"/>
  <c r="U30" i="2"/>
  <c r="L30" i="2"/>
  <c r="V28" i="2"/>
  <c r="V24" i="2"/>
  <c r="V25" i="2"/>
  <c r="V26" i="2"/>
  <c r="V27" i="2"/>
  <c r="J30" i="2"/>
  <c r="K30" i="2"/>
  <c r="I30" i="2"/>
  <c r="V18" i="2"/>
  <c r="V19" i="2"/>
  <c r="V20" i="2"/>
  <c r="V21" i="2"/>
  <c r="V22" i="2"/>
  <c r="V23" i="2"/>
  <c r="H30" i="2"/>
  <c r="E30" i="2"/>
  <c r="F30" i="2"/>
  <c r="G30" i="2"/>
  <c r="D30" i="2"/>
  <c r="V17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C30" i="2"/>
  <c r="V3" i="2"/>
  <c r="S4" i="1"/>
  <c r="S5" i="1"/>
  <c r="S6" i="1"/>
  <c r="S7" i="1"/>
  <c r="S8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C9" i="1"/>
  <c r="B9" i="1"/>
  <c r="S3" i="1"/>
  <c r="V30" i="2" l="1"/>
  <c r="S9" i="1"/>
</calcChain>
</file>

<file path=xl/sharedStrings.xml><?xml version="1.0" encoding="utf-8"?>
<sst xmlns="http://schemas.openxmlformats.org/spreadsheetml/2006/main" count="59" uniqueCount="37">
  <si>
    <t xml:space="preserve">April </t>
  </si>
  <si>
    <t xml:space="preserve">Product name </t>
  </si>
  <si>
    <t>Ozempic 1mg UK</t>
  </si>
  <si>
    <t>MP</t>
  </si>
  <si>
    <t>Total</t>
  </si>
  <si>
    <t xml:space="preserve">Wellchem,Pharmaceuticals </t>
  </si>
  <si>
    <t>Crysvita 10 mg</t>
  </si>
  <si>
    <t>Crysvita 20 mg</t>
  </si>
  <si>
    <t>Crysvita 30 mg</t>
  </si>
  <si>
    <t xml:space="preserve">Hemlibra 150 mg </t>
  </si>
  <si>
    <t xml:space="preserve">Alecensa Capsule 150 Mg </t>
  </si>
  <si>
    <t>May</t>
  </si>
  <si>
    <t>Humira 80mg</t>
  </si>
  <si>
    <t>Trulicity</t>
  </si>
  <si>
    <t xml:space="preserve">Hemlibra 150 mg /60 mg </t>
  </si>
  <si>
    <t xml:space="preserve">Takhzyro syringe 300 mg </t>
  </si>
  <si>
    <t xml:space="preserve">Norditropine Pen 15 mg </t>
  </si>
  <si>
    <t xml:space="preserve">Mounjaro 12.5 mg </t>
  </si>
  <si>
    <t xml:space="preserve">ENBREL 50 MG </t>
  </si>
  <si>
    <t>Radicut 50 ml 2.1%</t>
  </si>
  <si>
    <t xml:space="preserve">Osimertinib Tablets 80 mg </t>
  </si>
  <si>
    <t>Verzenio 150 mg</t>
  </si>
  <si>
    <t>PO</t>
  </si>
  <si>
    <t>Wellcham</t>
  </si>
  <si>
    <t>Wellcham 2</t>
  </si>
  <si>
    <t>Aubagio 14 mg 28 Tablets</t>
  </si>
  <si>
    <t>Norditropine 10mg Pen 1.5ml</t>
  </si>
  <si>
    <t>Verzenios 150 mg</t>
  </si>
  <si>
    <t>Revlimid 25 mg 21 caps</t>
  </si>
  <si>
    <t>Revlimid 2.5 mg 21 caps</t>
  </si>
  <si>
    <t>Verzenio 150 mg 168 tabs</t>
  </si>
  <si>
    <t>GPW Group</t>
  </si>
  <si>
    <t>Verzenio 100 mg 56 tabs</t>
  </si>
  <si>
    <t>Norditropine 15mg Pen 1.5ml</t>
  </si>
  <si>
    <t>Osimertinib Tablets 80 mg (Tagrisso)</t>
  </si>
  <si>
    <t>Orencia 125mg 4 ClickJet</t>
  </si>
  <si>
    <t>Ibrance 100mg 21 tabs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</si>
</sst>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17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workbookViewId="0">
      <selection activeCell="A8" sqref="A8:XFD8"/>
    </sheetView>
  </sheetViews>
  <sheetFormatPr defaultColWidth="9.140625" defaultRowHeight="15.75" x14ac:dyDescent="0.25"/>
  <cols>
    <col min="1" max="1" width="25.42578125" style="2" bestFit="1" customWidth="1"/>
    <col min="2" max="2" width="18.42578125" style="2" customWidth="1"/>
    <col min="3" max="16384" width="9.140625" style="2"/>
  </cols>
  <sheetData>
    <row r="1" spans="1:19" x14ac:dyDescent="0.25">
      <c r="A1" s="1" t="s">
        <v>0</v>
      </c>
      <c r="B1" s="1"/>
      <c r="C1" s="4">
        <v>39539</v>
      </c>
      <c r="D1" s="4">
        <v>39539</v>
      </c>
      <c r="E1" s="4">
        <v>41730</v>
      </c>
      <c r="F1" s="4">
        <v>42826</v>
      </c>
      <c r="G1" s="4">
        <v>47574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25">
      <c r="A2" s="3" t="s">
        <v>1</v>
      </c>
      <c r="B2" s="3"/>
      <c r="C2" s="3" t="s">
        <v>3</v>
      </c>
      <c r="D2" s="3"/>
      <c r="E2" s="3"/>
      <c r="F2" s="3"/>
      <c r="G2" s="3" t="s">
        <v>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2">
        <v>12</v>
      </c>
      <c r="D3" s="2">
        <v>-3</v>
      </c>
      <c r="E3" s="2">
        <v>-3</v>
      </c>
      <c r="F3" s="2">
        <v>-3</v>
      </c>
      <c r="S3" s="3">
        <f>SUM(C3:R3)</f>
        <v>3</v>
      </c>
    </row>
    <row r="4" spans="1:19" x14ac:dyDescent="0.25">
      <c r="A4" s="2" t="s">
        <v>6</v>
      </c>
      <c r="B4" s="3">
        <v>0</v>
      </c>
      <c r="G4" s="2">
        <v>6</v>
      </c>
      <c r="S4" s="3">
        <f t="shared" ref="S4:S8" si="0">SUM(C4:R4)</f>
        <v>6</v>
      </c>
    </row>
    <row r="5" spans="1:19" x14ac:dyDescent="0.25">
      <c r="A5" s="2" t="s">
        <v>7</v>
      </c>
      <c r="B5" s="3">
        <v>0</v>
      </c>
      <c r="G5" s="2">
        <v>12</v>
      </c>
      <c r="S5" s="3">
        <f t="shared" si="0"/>
        <v>12</v>
      </c>
    </row>
    <row r="6" spans="1:19" x14ac:dyDescent="0.25">
      <c r="A6" s="2" t="s">
        <v>8</v>
      </c>
      <c r="B6" s="3">
        <v>0</v>
      </c>
      <c r="G6" s="2">
        <v>14</v>
      </c>
      <c r="S6" s="3">
        <f t="shared" si="0"/>
        <v>14</v>
      </c>
    </row>
    <row r="7" spans="1:19" x14ac:dyDescent="0.25">
      <c r="A7" s="2" t="s">
        <v>10</v>
      </c>
      <c r="B7" s="3"/>
      <c r="G7" s="2">
        <v>1</v>
      </c>
      <c r="S7" s="3">
        <f t="shared" si="0"/>
        <v>1</v>
      </c>
    </row>
    <row r="8" spans="1:19" x14ac:dyDescent="0.25">
      <c r="A8" s="2" t="s">
        <v>9</v>
      </c>
      <c r="B8" s="3">
        <v>0</v>
      </c>
      <c r="G8" s="2">
        <v>8</v>
      </c>
      <c r="S8" s="3">
        <f t="shared" si="0"/>
        <v>8</v>
      </c>
    </row>
    <row r="9" spans="1:19" x14ac:dyDescent="0.25">
      <c r="A9" s="3" t="s">
        <v>4</v>
      </c>
      <c r="B9" s="3">
        <f>SUM(B3:B8)</f>
        <v>0</v>
      </c>
      <c r="C9" s="3">
        <f>SUM(C3:C8)</f>
        <v>12</v>
      </c>
      <c r="D9" s="3">
        <f t="shared" ref="D9:S9" si="1">SUM(D3:D8)</f>
        <v>-3</v>
      </c>
      <c r="E9" s="3">
        <f t="shared" si="1"/>
        <v>-3</v>
      </c>
      <c r="F9" s="3">
        <f t="shared" si="1"/>
        <v>-3</v>
      </c>
      <c r="G9" s="3">
        <f t="shared" si="1"/>
        <v>41</v>
      </c>
      <c r="H9" s="3">
        <f t="shared" si="1"/>
        <v>0</v>
      </c>
      <c r="I9" s="3">
        <f t="shared" si="1"/>
        <v>0</v>
      </c>
      <c r="J9" s="3">
        <f t="shared" si="1"/>
        <v>0</v>
      </c>
      <c r="K9" s="3">
        <f t="shared" si="1"/>
        <v>0</v>
      </c>
      <c r="L9" s="3">
        <f t="shared" si="1"/>
        <v>0</v>
      </c>
      <c r="M9" s="3">
        <f t="shared" si="1"/>
        <v>0</v>
      </c>
      <c r="N9" s="3">
        <f t="shared" si="1"/>
        <v>0</v>
      </c>
      <c r="O9" s="3">
        <f t="shared" si="1"/>
        <v>0</v>
      </c>
      <c r="P9" s="3">
        <f t="shared" si="1"/>
        <v>0</v>
      </c>
      <c r="Q9" s="3">
        <f t="shared" si="1"/>
        <v>0</v>
      </c>
      <c r="R9" s="3">
        <f t="shared" si="1"/>
        <v>0</v>
      </c>
      <c r="S9" s="3">
        <f t="shared" si="1"/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1482-C455-415A-854C-38B252F88E03}">
  <sheetPr>
    <pageSetUpPr fitToPage="1"/>
  </sheetPr>
  <dimension ref="A1:V30"/>
  <sheetViews>
    <sheetView tabSelected="1" zoomScale="90" zoomScaleNormal="90" workbookViewId="0">
      <selection activeCell="N13" sqref="N13"/>
    </sheetView>
  </sheetViews>
  <sheetFormatPr defaultRowHeight="15" x14ac:dyDescent="0.25"/>
  <cols>
    <col min="1" max="1" width="28.42578125" bestFit="1" customWidth="1"/>
    <col min="2" max="2" width="26.140625" style="7" customWidth="1"/>
    <col min="3" max="7" width="9.140625" customWidth="1"/>
    <col min="8" max="21" width="8.85546875" customWidth="1"/>
  </cols>
  <sheetData>
    <row r="1" spans="1:22" ht="15.75" x14ac:dyDescent="0.25">
      <c r="A1" s="1" t="s">
        <v>11</v>
      </c>
      <c r="B1" s="5" t="s">
        <v>22</v>
      </c>
      <c r="C1" s="1"/>
      <c r="D1" s="4">
        <v>38108</v>
      </c>
      <c r="E1" s="4">
        <v>38473</v>
      </c>
      <c r="F1" s="4">
        <v>38838</v>
      </c>
      <c r="G1" s="4">
        <v>39569</v>
      </c>
      <c r="H1" s="4">
        <v>40664</v>
      </c>
      <c r="I1" s="4">
        <v>41030</v>
      </c>
      <c r="J1" s="4">
        <v>41395</v>
      </c>
      <c r="K1" s="4">
        <v>42125</v>
      </c>
      <c r="L1" s="4">
        <v>44682</v>
      </c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5.75" x14ac:dyDescent="0.25">
      <c r="A2" s="3" t="s">
        <v>1</v>
      </c>
      <c r="B2" s="5"/>
      <c r="C2" s="3"/>
      <c r="D2" s="3" t="s">
        <v>3</v>
      </c>
      <c r="E2" s="3"/>
      <c r="F2" s="3" t="s">
        <v>3</v>
      </c>
      <c r="G2" s="3"/>
      <c r="H2" s="3"/>
      <c r="I2" s="3" t="s">
        <v>3</v>
      </c>
      <c r="J2" s="3" t="s">
        <v>3</v>
      </c>
      <c r="K2" s="3"/>
      <c r="L2" s="3" t="s">
        <v>3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5.75" x14ac:dyDescent="0.25">
      <c r="A3" s="2" t="s">
        <v>2</v>
      </c>
      <c r="B3" s="6"/>
      <c r="C3" s="3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>
        <f>SUM(C3:U3)</f>
        <v>3</v>
      </c>
    </row>
    <row r="4" spans="1:22" ht="15.75" x14ac:dyDescent="0.25">
      <c r="A4" s="2" t="s">
        <v>6</v>
      </c>
      <c r="B4" s="6" t="s">
        <v>23</v>
      </c>
      <c r="C4" s="3">
        <v>6</v>
      </c>
      <c r="D4" s="2"/>
      <c r="E4" s="2"/>
      <c r="F4" s="2"/>
      <c r="G4" s="2">
        <v>-6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3">
        <f t="shared" ref="V4:V29" si="0">SUM(C4:U4)</f>
        <v>0</v>
      </c>
    </row>
    <row r="5" spans="1:22" ht="15.75" x14ac:dyDescent="0.25">
      <c r="A5" s="2" t="s">
        <v>7</v>
      </c>
      <c r="B5" s="6" t="s">
        <v>23</v>
      </c>
      <c r="C5" s="3">
        <v>12</v>
      </c>
      <c r="D5" s="2"/>
      <c r="E5" s="2"/>
      <c r="F5" s="2"/>
      <c r="G5" s="2">
        <v>-6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>
        <f t="shared" si="0"/>
        <v>6</v>
      </c>
    </row>
    <row r="6" spans="1:22" ht="15.75" x14ac:dyDescent="0.25">
      <c r="A6" s="2" t="s">
        <v>8</v>
      </c>
      <c r="B6" s="6" t="s">
        <v>23</v>
      </c>
      <c r="C6" s="3">
        <v>14</v>
      </c>
      <c r="D6" s="2"/>
      <c r="E6" s="2"/>
      <c r="F6" s="2"/>
      <c r="G6" s="2">
        <v>-8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">
        <f t="shared" si="0"/>
        <v>6</v>
      </c>
    </row>
    <row r="7" spans="1:22" ht="15.75" x14ac:dyDescent="0.25">
      <c r="A7" s="2" t="s">
        <v>10</v>
      </c>
      <c r="B7" s="6" t="s">
        <v>23</v>
      </c>
      <c r="C7" s="3">
        <v>1</v>
      </c>
      <c r="D7" s="2"/>
      <c r="E7" s="2"/>
      <c r="F7" s="2"/>
      <c r="G7" s="2">
        <v>-1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3">
        <f t="shared" si="0"/>
        <v>0</v>
      </c>
    </row>
    <row r="8" spans="1:22" ht="15.75" x14ac:dyDescent="0.25">
      <c r="A8" s="2" t="s">
        <v>14</v>
      </c>
      <c r="B8" s="6" t="s">
        <v>23</v>
      </c>
      <c r="C8" s="3">
        <v>8</v>
      </c>
      <c r="D8" s="2"/>
      <c r="E8" s="2"/>
      <c r="F8" s="2"/>
      <c r="G8" s="2">
        <v>-8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3">
        <f t="shared" si="0"/>
        <v>0</v>
      </c>
    </row>
    <row r="9" spans="1:22" ht="15.75" x14ac:dyDescent="0.25">
      <c r="A9" s="2" t="s">
        <v>12</v>
      </c>
      <c r="B9" s="6">
        <v>3777</v>
      </c>
      <c r="C9" s="3">
        <v>0</v>
      </c>
      <c r="D9" s="2">
        <v>12</v>
      </c>
      <c r="E9" s="2">
        <v>-6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3">
        <f t="shared" si="0"/>
        <v>6</v>
      </c>
    </row>
    <row r="10" spans="1:22" ht="15.75" x14ac:dyDescent="0.25">
      <c r="A10" s="2" t="s">
        <v>13</v>
      </c>
      <c r="B10" s="6">
        <v>3777</v>
      </c>
      <c r="C10" s="3">
        <v>0</v>
      </c>
      <c r="D10" s="2">
        <v>3</v>
      </c>
      <c r="E10" s="2">
        <v>-3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3">
        <f t="shared" si="0"/>
        <v>0</v>
      </c>
    </row>
    <row r="11" spans="1:22" ht="15.75" x14ac:dyDescent="0.25">
      <c r="A11" s="2" t="s">
        <v>15</v>
      </c>
      <c r="B11" s="6" t="s">
        <v>24</v>
      </c>
      <c r="C11" s="3">
        <v>0</v>
      </c>
      <c r="D11" s="2"/>
      <c r="E11" s="2"/>
      <c r="F11" s="2"/>
      <c r="G11" s="2"/>
      <c r="H11" s="2">
        <v>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3">
        <f t="shared" si="0"/>
        <v>3</v>
      </c>
    </row>
    <row r="12" spans="1:22" ht="15.75" x14ac:dyDescent="0.25">
      <c r="A12" s="2" t="s">
        <v>16</v>
      </c>
      <c r="B12" s="6" t="s">
        <v>24</v>
      </c>
      <c r="C12" s="3">
        <v>0</v>
      </c>
      <c r="D12" s="2"/>
      <c r="E12" s="2"/>
      <c r="F12" s="2"/>
      <c r="G12" s="2"/>
      <c r="H12" s="2">
        <v>6</v>
      </c>
      <c r="I12" s="2"/>
      <c r="J12" s="2"/>
      <c r="K12" s="2">
        <v>-3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3">
        <f t="shared" si="0"/>
        <v>3</v>
      </c>
    </row>
    <row r="13" spans="1:22" ht="15.75" x14ac:dyDescent="0.25">
      <c r="A13" s="2" t="s">
        <v>17</v>
      </c>
      <c r="B13" s="6" t="s">
        <v>24</v>
      </c>
      <c r="C13" s="3">
        <v>0</v>
      </c>
      <c r="D13" s="2"/>
      <c r="E13" s="2"/>
      <c r="F13" s="2"/>
      <c r="G13" s="2"/>
      <c r="H13" s="2">
        <v>3</v>
      </c>
      <c r="I13" s="2"/>
      <c r="J13" s="2"/>
      <c r="K13" s="2">
        <v>-3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3">
        <f t="shared" si="0"/>
        <v>0</v>
      </c>
    </row>
    <row r="14" spans="1:22" ht="15.75" x14ac:dyDescent="0.25">
      <c r="A14" s="2" t="s">
        <v>19</v>
      </c>
      <c r="B14" s="6"/>
      <c r="C14" s="3"/>
      <c r="D14" s="2"/>
      <c r="E14" s="2"/>
      <c r="F14" s="2"/>
      <c r="G14" s="2"/>
      <c r="H14" s="2">
        <v>1</v>
      </c>
      <c r="I14" s="2"/>
      <c r="J14" s="2"/>
      <c r="K14" s="2">
        <v>-1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3">
        <f t="shared" si="0"/>
        <v>0</v>
      </c>
    </row>
    <row r="15" spans="1:22" ht="15.75" x14ac:dyDescent="0.25">
      <c r="A15" s="2" t="s">
        <v>18</v>
      </c>
      <c r="B15" s="6" t="s">
        <v>24</v>
      </c>
      <c r="C15" s="3">
        <v>0</v>
      </c>
      <c r="D15" s="2"/>
      <c r="E15" s="2"/>
      <c r="F15" s="2"/>
      <c r="G15" s="2"/>
      <c r="H15" s="2">
        <v>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3">
        <f t="shared" si="0"/>
        <v>6</v>
      </c>
    </row>
    <row r="16" spans="1:22" ht="15.75" x14ac:dyDescent="0.25">
      <c r="A16" s="2" t="s">
        <v>20</v>
      </c>
      <c r="B16" s="6">
        <v>3780</v>
      </c>
      <c r="C16" s="3">
        <v>0</v>
      </c>
      <c r="D16" s="2"/>
      <c r="E16" s="2"/>
      <c r="F16" s="2"/>
      <c r="G16" s="2"/>
      <c r="H16" s="2">
        <v>3</v>
      </c>
      <c r="I16" s="2"/>
      <c r="J16" s="2"/>
      <c r="K16" s="2">
        <v>-3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3">
        <f t="shared" si="0"/>
        <v>0</v>
      </c>
    </row>
    <row r="17" spans="1:22" ht="15.75" x14ac:dyDescent="0.25">
      <c r="A17" s="2" t="s">
        <v>27</v>
      </c>
      <c r="B17" s="6">
        <v>3792</v>
      </c>
      <c r="C17" s="3">
        <v>0</v>
      </c>
      <c r="D17" s="2"/>
      <c r="E17" s="2"/>
      <c r="F17" s="2">
        <v>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3">
        <f t="shared" si="0"/>
        <v>1</v>
      </c>
    </row>
    <row r="18" spans="1:22" ht="15.75" x14ac:dyDescent="0.25">
      <c r="A18" s="2" t="s">
        <v>35</v>
      </c>
      <c r="B18" s="6">
        <v>3777</v>
      </c>
      <c r="C18" s="3">
        <v>0</v>
      </c>
      <c r="D18" s="2">
        <v>6</v>
      </c>
      <c r="E18" s="2"/>
      <c r="F18" s="2"/>
      <c r="G18" s="2">
        <v>-3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3">
        <f t="shared" si="0"/>
        <v>3</v>
      </c>
    </row>
    <row r="19" spans="1:22" ht="15.75" x14ac:dyDescent="0.25">
      <c r="A19" s="2" t="s">
        <v>28</v>
      </c>
      <c r="B19" s="6">
        <v>3787</v>
      </c>
      <c r="C19" s="3"/>
      <c r="D19" s="2"/>
      <c r="E19" s="2"/>
      <c r="F19" s="2"/>
      <c r="G19" s="2"/>
      <c r="H19" s="2"/>
      <c r="I19" s="2">
        <v>3</v>
      </c>
      <c r="J19" s="2"/>
      <c r="K19" s="2">
        <v>-3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3">
        <f t="shared" si="0"/>
        <v>0</v>
      </c>
    </row>
    <row r="20" spans="1:22" ht="15.75" x14ac:dyDescent="0.25">
      <c r="A20" s="2" t="s">
        <v>29</v>
      </c>
      <c r="B20" s="6">
        <v>3787</v>
      </c>
      <c r="C20" s="3"/>
      <c r="D20" s="2"/>
      <c r="E20" s="2"/>
      <c r="F20" s="2"/>
      <c r="G20" s="2"/>
      <c r="H20" s="2"/>
      <c r="I20" s="2">
        <v>3</v>
      </c>
      <c r="J20" s="2"/>
      <c r="K20" s="2">
        <v>-3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3">
        <f t="shared" si="0"/>
        <v>0</v>
      </c>
    </row>
    <row r="21" spans="1:22" ht="15.75" x14ac:dyDescent="0.25">
      <c r="A21" s="2" t="s">
        <v>25</v>
      </c>
      <c r="B21" s="6">
        <v>3787</v>
      </c>
      <c r="C21" s="3"/>
      <c r="D21" s="2"/>
      <c r="E21" s="2"/>
      <c r="F21" s="2"/>
      <c r="G21" s="2"/>
      <c r="H21" s="2"/>
      <c r="I21" s="2">
        <v>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3">
        <f t="shared" si="0"/>
        <v>3</v>
      </c>
    </row>
    <row r="22" spans="1:22" ht="15.75" x14ac:dyDescent="0.25">
      <c r="A22" s="2" t="s">
        <v>10</v>
      </c>
      <c r="B22" s="6">
        <v>3787</v>
      </c>
      <c r="C22" s="3"/>
      <c r="D22" s="2"/>
      <c r="E22" s="2"/>
      <c r="F22" s="2"/>
      <c r="G22" s="2"/>
      <c r="H22" s="2"/>
      <c r="I22" s="2">
        <v>2</v>
      </c>
      <c r="J22" s="2"/>
      <c r="K22" s="2">
        <v>-2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3">
        <f t="shared" si="0"/>
        <v>0</v>
      </c>
    </row>
    <row r="23" spans="1:22" ht="15.75" x14ac:dyDescent="0.25">
      <c r="A23" s="2" t="s">
        <v>33</v>
      </c>
      <c r="B23" s="6">
        <v>3787</v>
      </c>
      <c r="C23" s="3"/>
      <c r="D23" s="2"/>
      <c r="E23" s="2"/>
      <c r="F23" s="2"/>
      <c r="G23" s="2"/>
      <c r="H23" s="2"/>
      <c r="I23" s="2">
        <v>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">
        <f t="shared" si="0"/>
        <v>2</v>
      </c>
    </row>
    <row r="24" spans="1:22" ht="15.75" x14ac:dyDescent="0.25">
      <c r="A24" s="2" t="s">
        <v>21</v>
      </c>
      <c r="B24" s="6">
        <v>3792</v>
      </c>
      <c r="C24" s="3"/>
      <c r="D24" s="2"/>
      <c r="E24" s="2"/>
      <c r="F24" s="2"/>
      <c r="G24" s="2"/>
      <c r="H24" s="2"/>
      <c r="I24" s="2">
        <v>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3">
        <f t="shared" si="0"/>
        <v>3</v>
      </c>
    </row>
    <row r="25" spans="1:22" ht="15.75" x14ac:dyDescent="0.25">
      <c r="A25" s="2" t="s">
        <v>30</v>
      </c>
      <c r="B25" s="6" t="s">
        <v>31</v>
      </c>
      <c r="C25" s="3"/>
      <c r="D25" s="2"/>
      <c r="E25" s="2"/>
      <c r="F25" s="2"/>
      <c r="G25" s="2"/>
      <c r="H25" s="2"/>
      <c r="I25" s="2"/>
      <c r="J25" s="2">
        <v>2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3">
        <f t="shared" si="0"/>
        <v>2</v>
      </c>
    </row>
    <row r="26" spans="1:22" ht="15.75" x14ac:dyDescent="0.25">
      <c r="A26" s="2" t="s">
        <v>32</v>
      </c>
      <c r="B26" s="6" t="s">
        <v>31</v>
      </c>
      <c r="C26" s="3"/>
      <c r="D26" s="2"/>
      <c r="E26" s="2"/>
      <c r="F26" s="2"/>
      <c r="G26" s="2"/>
      <c r="H26" s="2"/>
      <c r="I26" s="2"/>
      <c r="J26" s="2">
        <v>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3">
        <f t="shared" si="0"/>
        <v>3</v>
      </c>
    </row>
    <row r="27" spans="1:22" ht="15.75" x14ac:dyDescent="0.25">
      <c r="A27" s="2" t="s">
        <v>36</v>
      </c>
      <c r="B27" s="6" t="s">
        <v>31</v>
      </c>
      <c r="C27" s="3"/>
      <c r="D27" s="2"/>
      <c r="E27" s="2"/>
      <c r="F27" s="2"/>
      <c r="G27" s="2"/>
      <c r="H27" s="2"/>
      <c r="I27" s="2"/>
      <c r="J27" s="2">
        <v>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3">
        <f t="shared" si="0"/>
        <v>3</v>
      </c>
    </row>
    <row r="28" spans="1:22" ht="15.75" x14ac:dyDescent="0.25">
      <c r="A28" s="2" t="s">
        <v>26</v>
      </c>
      <c r="B28" s="6">
        <v>3804</v>
      </c>
      <c r="C28" s="3"/>
      <c r="D28" s="2"/>
      <c r="E28" s="2"/>
      <c r="F28" s="2"/>
      <c r="G28" s="2"/>
      <c r="H28" s="2"/>
      <c r="I28" s="2"/>
      <c r="J28" s="2"/>
      <c r="K28" s="2"/>
      <c r="L28" s="2">
        <v>2</v>
      </c>
      <c r="M28" s="2"/>
      <c r="N28" s="2"/>
      <c r="O28" s="2"/>
      <c r="P28" s="2"/>
      <c r="Q28" s="2"/>
      <c r="R28" s="2"/>
      <c r="S28" s="2"/>
      <c r="T28" s="2"/>
      <c r="U28" s="2"/>
      <c r="V28" s="3">
        <f t="shared" si="0"/>
        <v>2</v>
      </c>
    </row>
    <row r="29" spans="1:22" ht="15.75" x14ac:dyDescent="0.25">
      <c r="A29" s="2" t="s">
        <v>34</v>
      </c>
      <c r="B29" s="6">
        <v>3800</v>
      </c>
      <c r="C29" s="3"/>
      <c r="D29" s="2"/>
      <c r="E29" s="2"/>
      <c r="F29" s="2"/>
      <c r="G29" s="2"/>
      <c r="H29" s="2"/>
      <c r="I29" s="2"/>
      <c r="J29" s="2"/>
      <c r="K29" s="2"/>
      <c r="L29" s="2">
        <v>6</v>
      </c>
      <c r="M29" s="2"/>
      <c r="N29" s="2"/>
      <c r="O29" s="2"/>
      <c r="P29" s="2"/>
      <c r="Q29" s="2"/>
      <c r="R29" s="2"/>
      <c r="S29" s="2"/>
      <c r="T29" s="2"/>
      <c r="U29" s="2"/>
      <c r="V29" s="3">
        <f t="shared" si="0"/>
        <v>6</v>
      </c>
    </row>
    <row r="30" spans="1:22" ht="15.75" x14ac:dyDescent="0.25">
      <c r="A30" s="3" t="s">
        <v>4</v>
      </c>
      <c r="B30" s="5"/>
      <c r="C30" s="3">
        <f>SUM(C3:C18)</f>
        <v>44</v>
      </c>
      <c r="D30" s="3">
        <f>SUM(D3:D18)</f>
        <v>21</v>
      </c>
      <c r="E30" s="3">
        <f t="shared" ref="E30:H30" si="1">SUM(E3:E18)</f>
        <v>-9</v>
      </c>
      <c r="F30" s="3">
        <f t="shared" si="1"/>
        <v>1</v>
      </c>
      <c r="G30" s="3">
        <f t="shared" si="1"/>
        <v>-32</v>
      </c>
      <c r="H30" s="3">
        <f t="shared" si="1"/>
        <v>22</v>
      </c>
      <c r="I30" s="3">
        <f>SUM(I3:I24)</f>
        <v>16</v>
      </c>
      <c r="J30" s="3">
        <f>SUM(J3:J27)</f>
        <v>8</v>
      </c>
      <c r="K30" s="3">
        <f>SUM(K3:K24)</f>
        <v>-18</v>
      </c>
      <c r="L30" s="3">
        <f>SUM(L3:L29)</f>
        <v>8</v>
      </c>
      <c r="M30" s="3">
        <f t="shared" ref="M30:U30" si="2">SUM(M3:M29)</f>
        <v>0</v>
      </c>
      <c r="N30" s="3">
        <f t="shared" si="2"/>
        <v>0</v>
      </c>
      <c r="O30" s="3">
        <f t="shared" si="2"/>
        <v>0</v>
      </c>
      <c r="P30" s="3">
        <f t="shared" si="2"/>
        <v>0</v>
      </c>
      <c r="Q30" s="3">
        <f t="shared" si="2"/>
        <v>0</v>
      </c>
      <c r="R30" s="3">
        <f t="shared" si="2"/>
        <v>0</v>
      </c>
      <c r="S30" s="3">
        <f t="shared" si="2"/>
        <v>0</v>
      </c>
      <c r="T30" s="3">
        <f t="shared" si="2"/>
        <v>0</v>
      </c>
      <c r="U30" s="3">
        <f t="shared" si="2"/>
        <v>0</v>
      </c>
      <c r="V30" s="3">
        <f>SUM(C30:U30)</f>
        <v>61</v>
      </c>
    </row>
  </sheetData>
  <pageMargins left="0.7" right="0.7" top="0.75" bottom="0.75" header="0.3" footer="0.3"/>
  <pageSetup paperSize="9" fitToHeight="0" orientation="landscape" r:id="rId1"/>
  <ignoredErrors>
    <ignoredError sqref="V23:V2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88ae0a-9518-4d5e-a10c-fe8fcade8e33" xsi:nil="true"/>
    <lcf76f155ced4ddcb4097134ff3c332f xmlns="646ceb7f-5622-4977-9a88-d656367215f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9DEF58B6F7E8409D31306DAEFB7508" ma:contentTypeVersion="11" ma:contentTypeDescription="Create a new document." ma:contentTypeScope="" ma:versionID="61744ba78eb27067794ba1ebc613fed2">
  <xsd:schema xmlns:xsd="http://www.w3.org/2001/XMLSchema" xmlns:xs="http://www.w3.org/2001/XMLSchema" xmlns:p="http://schemas.microsoft.com/office/2006/metadata/properties" xmlns:ns2="646ceb7f-5622-4977-9a88-d656367215f4" xmlns:ns3="3888ae0a-9518-4d5e-a10c-fe8fcade8e33" targetNamespace="http://schemas.microsoft.com/office/2006/metadata/properties" ma:root="true" ma:fieldsID="3931a8ec306cbb3af88e535c11a80359" ns2:_="" ns3:_="">
    <xsd:import namespace="646ceb7f-5622-4977-9a88-d656367215f4"/>
    <xsd:import namespace="3888ae0a-9518-4d5e-a10c-fe8fcade8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ceb7f-5622-4977-9a88-d65636721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232ddf-b408-439d-b3c5-eb4ffafe30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8ae0a-9518-4d5e-a10c-fe8fcade8e3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c56a83-8a55-485d-87e5-577a4ca93881}" ma:internalName="TaxCatchAll" ma:showField="CatchAllData" ma:web="3888ae0a-9518-4d5e-a10c-fe8fcade8e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249E45-1CAB-4CDA-8759-D721EE7E64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B33BFF-7294-4730-96C7-A22BA8231831}">
  <ds:schemaRefs>
    <ds:schemaRef ds:uri="http://schemas.microsoft.com/office/2006/metadata/properties"/>
    <ds:schemaRef ds:uri="http://schemas.microsoft.com/office/infopath/2007/PartnerControls"/>
    <ds:schemaRef ds:uri="3888ae0a-9518-4d5e-a10c-fe8fcade8e33"/>
    <ds:schemaRef ds:uri="646ceb7f-5622-4977-9a88-d656367215f4"/>
  </ds:schemaRefs>
</ds:datastoreItem>
</file>

<file path=customXml/itemProps3.xml><?xml version="1.0" encoding="utf-8"?>
<ds:datastoreItem xmlns:ds="http://schemas.openxmlformats.org/officeDocument/2006/customXml" ds:itemID="{287ACD5A-A8EE-4C32-BF1D-10C073EC69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6ceb7f-5622-4977-9a88-d656367215f4"/>
    <ds:schemaRef ds:uri="3888ae0a-9518-4d5e-a10c-fe8fcade8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April</vt:lpstr>
      <vt:lpstr>May</vt:lpstr>
      <vt:lpstr>May!Print_Area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Eniko Virag</dc:creator>
  <cp:lastModifiedBy>Jayandra Shah</cp:lastModifiedBy>
  <cp:lastPrinted>2026-05-25T12:28:23Z</cp:lastPrinted>
  <dcterms:created xsi:type="dcterms:W3CDTF">2015-06-05T18:17:20Z</dcterms:created>
  <dcterms:modified xsi:type="dcterms:W3CDTF">2026-05-26T10:00:24Z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0x010100569DEF58B6F7E8409D31306DAEFB7508</vt:lpwstr>
  </property>
  <property fmtid="{D5CDD505-2E9C-101B-9397-08002B2CF9AE}" pid="3" name="MediaServiceImageTags">
    <vt:lpwstr/>
  </property>
</Properties>
</file>