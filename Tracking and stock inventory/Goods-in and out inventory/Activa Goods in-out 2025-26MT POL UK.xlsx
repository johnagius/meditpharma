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harmaconsultamt.sharepoint.com/sites/Meditpharma/Meditpharma Warehouse/Shipping Documents/Meditpharma/Goods In/New folder/Activa/"/>
    </mc:Choice>
  </mc:AlternateContent>
  <xr:revisionPtr revIDLastSave="433" documentId="13_ncr:1_{CD36D698-7BC0-4E70-B5C8-FCF1F5AA2205}" xr6:coauthVersionLast="47" xr6:coauthVersionMax="47" xr10:uidLastSave="{F9A70E67-376D-4518-A61E-CB401F678B08}"/>
  <bookViews>
    <workbookView xWindow="-28920" yWindow="-765" windowWidth="29040" windowHeight="15720" firstSheet="15" activeTab="16" xr2:uid="{00000000-000D-0000-FFFF-FFFF00000000}"/>
  </bookViews>
  <sheets>
    <sheet name="January " sheetId="1" r:id="rId1"/>
    <sheet name="February 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 " sheetId="11" r:id="rId11"/>
    <sheet name="December " sheetId="12" r:id="rId12"/>
    <sheet name="January 2026" sheetId="13" r:id="rId13"/>
    <sheet name="Febuary 2026" sheetId="14" r:id="rId14"/>
    <sheet name="March 2026 " sheetId="15" r:id="rId15"/>
    <sheet name=" April 2026" sheetId="16" r:id="rId16"/>
    <sheet name="May MT 2026" sheetId="17" r:id="rId17"/>
    <sheet name="May POL " sheetId="18" r:id="rId18"/>
    <sheet name="UK " sheetId="19" r:id="rId19"/>
  </sheets>
  <definedNames>
    <definedName name="_xlnm.Print_Area" localSheetId="15">' April 2026'!$A$1:$AA$20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18" l="1"/>
  <c r="S12" i="18"/>
  <c r="T12" i="18"/>
  <c r="U12" i="18"/>
  <c r="AA4" i="17"/>
  <c r="AA5" i="17"/>
  <c r="AA6" i="17"/>
  <c r="AA7" i="17"/>
  <c r="AA8" i="17"/>
  <c r="AA9" i="17"/>
  <c r="AA10" i="17"/>
  <c r="AA11" i="17"/>
  <c r="AA12" i="17"/>
  <c r="AA13" i="17"/>
  <c r="AA14" i="17"/>
  <c r="AA15" i="17"/>
  <c r="AA16" i="17"/>
  <c r="AA17" i="17"/>
  <c r="AA18" i="17"/>
  <c r="AA19" i="17"/>
  <c r="Q12" i="18"/>
  <c r="V4" i="18"/>
  <c r="V5" i="18"/>
  <c r="V6" i="18"/>
  <c r="V7" i="18"/>
  <c r="V8" i="18"/>
  <c r="V9" i="18"/>
  <c r="V10" i="18"/>
  <c r="V11" i="18"/>
  <c r="V3" i="18"/>
  <c r="N12" i="18"/>
  <c r="O12" i="18"/>
  <c r="P12" i="18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AI19" i="19" s="1"/>
  <c r="AI18" i="19"/>
  <c r="AI17" i="19"/>
  <c r="AI16" i="19"/>
  <c r="AI15" i="19"/>
  <c r="AI14" i="19"/>
  <c r="AI13" i="19"/>
  <c r="AI12" i="19"/>
  <c r="AI11" i="19"/>
  <c r="AI10" i="19"/>
  <c r="AI9" i="19"/>
  <c r="AI8" i="19"/>
  <c r="AI7" i="19"/>
  <c r="AI6" i="19"/>
  <c r="AI5" i="19"/>
  <c r="AI4" i="19"/>
  <c r="AI3" i="19"/>
  <c r="M12" i="18" l="1"/>
  <c r="L12" i="18"/>
  <c r="K12" i="18"/>
  <c r="J12" i="18"/>
  <c r="I12" i="18"/>
  <c r="H12" i="18"/>
  <c r="G12" i="18"/>
  <c r="F12" i="18"/>
  <c r="E12" i="18"/>
  <c r="D12" i="18"/>
  <c r="V12" i="18" l="1"/>
  <c r="AA4" i="16"/>
  <c r="AA5" i="16"/>
  <c r="AA6" i="16"/>
  <c r="AA7" i="16"/>
  <c r="AA8" i="16"/>
  <c r="AA9" i="16"/>
  <c r="AA10" i="16"/>
  <c r="AA11" i="16"/>
  <c r="AA12" i="16"/>
  <c r="AA13" i="16"/>
  <c r="AA14" i="16"/>
  <c r="AA15" i="16"/>
  <c r="AA16" i="16"/>
  <c r="AA17" i="16"/>
  <c r="AA18" i="16"/>
  <c r="AA19" i="16"/>
  <c r="AA20" i="16"/>
  <c r="Z20" i="17"/>
  <c r="Y20" i="17"/>
  <c r="X20" i="17"/>
  <c r="W20" i="17"/>
  <c r="V20" i="17"/>
  <c r="U20" i="17"/>
  <c r="T20" i="17"/>
  <c r="S20" i="17"/>
  <c r="AA20" i="17" s="1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AA3" i="17"/>
  <c r="Z20" i="16"/>
  <c r="AA3" i="16"/>
  <c r="X20" i="16"/>
  <c r="Y20" i="16"/>
  <c r="V20" i="16"/>
  <c r="W20" i="16"/>
  <c r="T20" i="16"/>
  <c r="S20" i="16"/>
  <c r="U20" i="16"/>
  <c r="O20" i="16"/>
  <c r="P20" i="16"/>
  <c r="Q20" i="16"/>
  <c r="R20" i="16"/>
  <c r="N20" i="16" l="1"/>
  <c r="L20" i="16"/>
  <c r="M20" i="16"/>
  <c r="D20" i="16"/>
  <c r="E20" i="16"/>
  <c r="F20" i="16"/>
  <c r="G20" i="16"/>
  <c r="H20" i="16"/>
  <c r="I20" i="16"/>
  <c r="J20" i="16"/>
  <c r="K20" i="16"/>
  <c r="C20" i="16"/>
  <c r="W4" i="15"/>
  <c r="W5" i="15"/>
  <c r="W6" i="15"/>
  <c r="W7" i="15"/>
  <c r="W8" i="15"/>
  <c r="W9" i="15"/>
  <c r="W10" i="15"/>
  <c r="W11" i="15"/>
  <c r="W12" i="15"/>
  <c r="W13" i="15"/>
  <c r="W14" i="15"/>
  <c r="W15" i="15"/>
  <c r="W16" i="15"/>
  <c r="W17" i="15"/>
  <c r="W18" i="15"/>
  <c r="W3" i="15"/>
  <c r="T19" i="15"/>
  <c r="U19" i="15"/>
  <c r="O19" i="15"/>
  <c r="P19" i="15"/>
  <c r="Q19" i="15"/>
  <c r="R19" i="15"/>
  <c r="S19" i="15"/>
  <c r="B18" i="14"/>
  <c r="N19" i="15"/>
  <c r="M19" i="15"/>
  <c r="L19" i="15"/>
  <c r="K19" i="15"/>
  <c r="J19" i="15"/>
  <c r="W19" i="15" s="1"/>
  <c r="I19" i="15"/>
  <c r="H19" i="15"/>
  <c r="G19" i="15"/>
  <c r="F19" i="15"/>
  <c r="E19" i="15"/>
  <c r="D19" i="15"/>
  <c r="C19" i="15"/>
  <c r="T4" i="14"/>
  <c r="T5" i="14"/>
  <c r="T6" i="14"/>
  <c r="T7" i="14"/>
  <c r="T8" i="14"/>
  <c r="T9" i="14"/>
  <c r="T10" i="14"/>
  <c r="T11" i="14"/>
  <c r="T12" i="14"/>
  <c r="T13" i="14"/>
  <c r="T14" i="14"/>
  <c r="T15" i="14"/>
  <c r="T16" i="14"/>
  <c r="T17" i="14"/>
  <c r="T3" i="14"/>
  <c r="S18" i="14"/>
  <c r="Q18" i="14"/>
  <c r="R18" i="14"/>
  <c r="M18" i="14"/>
  <c r="N18" i="14"/>
  <c r="O18" i="14"/>
  <c r="P18" i="14"/>
  <c r="D18" i="14"/>
  <c r="E18" i="14"/>
  <c r="F18" i="14"/>
  <c r="G18" i="14"/>
  <c r="H18" i="14"/>
  <c r="I18" i="14"/>
  <c r="J18" i="14"/>
  <c r="K18" i="14"/>
  <c r="L18" i="14"/>
  <c r="C18" i="14"/>
  <c r="AB4" i="13"/>
  <c r="AB5" i="13"/>
  <c r="AB6" i="13"/>
  <c r="AB7" i="13"/>
  <c r="AB8" i="13"/>
  <c r="AB9" i="13"/>
  <c r="AB10" i="13"/>
  <c r="AB11" i="13"/>
  <c r="AB12" i="13"/>
  <c r="AB13" i="13"/>
  <c r="AB14" i="13"/>
  <c r="AB15" i="13"/>
  <c r="AB16" i="13"/>
  <c r="AB17" i="13"/>
  <c r="AB18" i="13"/>
  <c r="C18" i="13"/>
  <c r="B19" i="15" l="1"/>
  <c r="T18" i="14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D18" i="13"/>
  <c r="B18" i="13"/>
  <c r="AB3" i="13"/>
  <c r="W4" i="12"/>
  <c r="W5" i="12"/>
  <c r="W6" i="12"/>
  <c r="W7" i="12"/>
  <c r="W8" i="12"/>
  <c r="W9" i="12"/>
  <c r="W10" i="12"/>
  <c r="W11" i="12"/>
  <c r="W12" i="12"/>
  <c r="W13" i="12"/>
  <c r="W14" i="12"/>
  <c r="W15" i="12"/>
  <c r="W16" i="12"/>
  <c r="W17" i="12"/>
  <c r="W18" i="12"/>
  <c r="W3" i="12"/>
  <c r="R19" i="12"/>
  <c r="S19" i="12"/>
  <c r="T19" i="12"/>
  <c r="U19" i="12"/>
  <c r="V19" i="12"/>
  <c r="N19" i="12"/>
  <c r="O19" i="12"/>
  <c r="P19" i="12"/>
  <c r="Q19" i="12"/>
  <c r="M19" i="12"/>
  <c r="D19" i="12"/>
  <c r="E19" i="12"/>
  <c r="F19" i="12"/>
  <c r="G19" i="12"/>
  <c r="H19" i="12"/>
  <c r="I19" i="12"/>
  <c r="J19" i="12"/>
  <c r="K19" i="12"/>
  <c r="L19" i="12"/>
  <c r="C19" i="12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X18" i="11"/>
  <c r="Y18" i="11"/>
  <c r="Z18" i="11"/>
  <c r="AA18" i="11"/>
  <c r="U18" i="11"/>
  <c r="V18" i="11"/>
  <c r="W18" i="11"/>
  <c r="W19" i="12" l="1"/>
  <c r="L18" i="11"/>
  <c r="M18" i="11"/>
  <c r="N18" i="11"/>
  <c r="O18" i="11"/>
  <c r="P18" i="11"/>
  <c r="Q18" i="11"/>
  <c r="R18" i="11"/>
  <c r="S18" i="11"/>
  <c r="T18" i="11"/>
  <c r="AB3" i="11"/>
  <c r="D18" i="11"/>
  <c r="E18" i="11"/>
  <c r="G18" i="11"/>
  <c r="H18" i="11"/>
  <c r="I18" i="11"/>
  <c r="J18" i="11"/>
  <c r="K18" i="11"/>
  <c r="C18" i="11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3" i="10"/>
  <c r="AD27" i="10"/>
  <c r="AE27" i="10"/>
  <c r="AF27" i="10"/>
  <c r="AG27" i="10"/>
  <c r="AH27" i="10"/>
  <c r="W27" i="10"/>
  <c r="X27" i="10"/>
  <c r="Y27" i="10"/>
  <c r="Z27" i="10"/>
  <c r="AA27" i="10"/>
  <c r="AB27" i="10"/>
  <c r="AC27" i="10"/>
  <c r="AD4" i="9"/>
  <c r="AD5" i="9"/>
  <c r="AD6" i="9"/>
  <c r="AD7" i="9"/>
  <c r="AD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F27" i="10" l="1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E27" i="10"/>
  <c r="X29" i="9"/>
  <c r="Y29" i="9"/>
  <c r="Z29" i="9"/>
  <c r="AA29" i="9"/>
  <c r="AB29" i="9"/>
  <c r="AC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AD3" i="9"/>
  <c r="F29" i="9"/>
  <c r="G29" i="9"/>
  <c r="H29" i="9"/>
  <c r="E29" i="9"/>
  <c r="AI27" i="10" l="1"/>
  <c r="AD29" i="9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4" i="8"/>
  <c r="AE5" i="8"/>
  <c r="AE6" i="8"/>
  <c r="AE7" i="8"/>
  <c r="AE8" i="8"/>
  <c r="AE9" i="8"/>
  <c r="AE10" i="8"/>
  <c r="AE11" i="8"/>
  <c r="AE12" i="8"/>
  <c r="AE29" i="8"/>
  <c r="AE3" i="8"/>
  <c r="AB30" i="8"/>
  <c r="AC30" i="8"/>
  <c r="AD30" i="8"/>
  <c r="V30" i="8"/>
  <c r="W30" i="8"/>
  <c r="X30" i="8"/>
  <c r="Y30" i="8"/>
  <c r="Z30" i="8"/>
  <c r="AA30" i="8"/>
  <c r="T30" i="8"/>
  <c r="U30" i="8"/>
  <c r="L30" i="8" l="1"/>
  <c r="M30" i="8"/>
  <c r="N30" i="8"/>
  <c r="O30" i="8"/>
  <c r="P30" i="8"/>
  <c r="Q30" i="8"/>
  <c r="R30" i="8"/>
  <c r="S30" i="8"/>
  <c r="I30" i="8"/>
  <c r="J30" i="8"/>
  <c r="K30" i="8"/>
  <c r="F30" i="8"/>
  <c r="G30" i="8"/>
  <c r="H30" i="8"/>
  <c r="E30" i="8"/>
  <c r="Z33" i="7"/>
  <c r="AA33" i="7"/>
  <c r="AB33" i="7"/>
  <c r="AC33" i="7"/>
  <c r="AD33" i="7"/>
  <c r="AE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" i="7"/>
  <c r="R33" i="7"/>
  <c r="S33" i="7"/>
  <c r="T33" i="7"/>
  <c r="U33" i="7"/>
  <c r="V33" i="7"/>
  <c r="W33" i="7"/>
  <c r="X33" i="7"/>
  <c r="Y33" i="7"/>
  <c r="O33" i="7"/>
  <c r="N33" i="7"/>
  <c r="P33" i="7"/>
  <c r="Q33" i="7"/>
  <c r="F33" i="7"/>
  <c r="G33" i="7"/>
  <c r="H33" i="7"/>
  <c r="I33" i="7"/>
  <c r="J33" i="7"/>
  <c r="K33" i="7"/>
  <c r="L33" i="7"/>
  <c r="M33" i="7"/>
  <c r="E33" i="7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" i="6"/>
  <c r="AC32" i="6"/>
  <c r="AD32" i="6"/>
  <c r="A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E32" i="6"/>
  <c r="AK28" i="5"/>
  <c r="AL4" i="5"/>
  <c r="AL5" i="5"/>
  <c r="AL6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7" i="5"/>
  <c r="AL3" i="5"/>
  <c r="AG28" i="5"/>
  <c r="AH28" i="5"/>
  <c r="AI28" i="5"/>
  <c r="AJ28" i="5"/>
  <c r="AE30" i="8" l="1"/>
  <c r="AE33" i="7"/>
  <c r="AF32" i="6"/>
  <c r="AD28" i="5"/>
  <c r="AE28" i="5"/>
  <c r="AF28" i="5"/>
  <c r="Z28" i="5" l="1"/>
  <c r="AA28" i="5"/>
  <c r="AB28" i="5"/>
  <c r="AC28" i="5"/>
  <c r="X28" i="5"/>
  <c r="Y28" i="5"/>
  <c r="O28" i="5"/>
  <c r="P28" i="5"/>
  <c r="Q28" i="5"/>
  <c r="R28" i="5"/>
  <c r="S28" i="5"/>
  <c r="T28" i="5"/>
  <c r="F28" i="5"/>
  <c r="G28" i="5"/>
  <c r="H28" i="5"/>
  <c r="I28" i="5"/>
  <c r="J28" i="5"/>
  <c r="K28" i="5"/>
  <c r="L28" i="5"/>
  <c r="M28" i="5"/>
  <c r="N28" i="5"/>
  <c r="U28" i="5"/>
  <c r="V28" i="5"/>
  <c r="W28" i="5"/>
  <c r="E28" i="5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" i="4"/>
  <c r="AI31" i="4"/>
  <c r="AJ31" i="4"/>
  <c r="AG31" i="4"/>
  <c r="AH31" i="4"/>
  <c r="AA31" i="4"/>
  <c r="AB31" i="4"/>
  <c r="AC31" i="4"/>
  <c r="AD31" i="4"/>
  <c r="AE31" i="4"/>
  <c r="AF31" i="4"/>
  <c r="U31" i="4"/>
  <c r="V31" i="4"/>
  <c r="W31" i="4"/>
  <c r="X31" i="4"/>
  <c r="Y31" i="4"/>
  <c r="Z31" i="4"/>
  <c r="R31" i="4"/>
  <c r="S31" i="4"/>
  <c r="T31" i="4"/>
  <c r="Q31" i="4"/>
  <c r="M31" i="4"/>
  <c r="F31" i="4"/>
  <c r="G31" i="4"/>
  <c r="H31" i="4"/>
  <c r="I31" i="4"/>
  <c r="J31" i="4"/>
  <c r="K31" i="4"/>
  <c r="L31" i="4"/>
  <c r="N31" i="4"/>
  <c r="O31" i="4"/>
  <c r="P31" i="4"/>
  <c r="E31" i="4"/>
  <c r="AC22" i="3"/>
  <c r="AD22" i="3"/>
  <c r="AE22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3" i="3"/>
  <c r="AA22" i="3"/>
  <c r="AB22" i="3"/>
  <c r="V22" i="3"/>
  <c r="W22" i="3"/>
  <c r="X22" i="3"/>
  <c r="Y22" i="3"/>
  <c r="Z22" i="3"/>
  <c r="S22" i="3"/>
  <c r="T22" i="3"/>
  <c r="U22" i="3"/>
  <c r="AL28" i="5" l="1"/>
  <c r="AK31" i="4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E22" i="3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C22" i="2"/>
  <c r="AD22" i="2"/>
  <c r="AE3" i="2"/>
  <c r="AB22" i="2"/>
  <c r="AF22" i="3" l="1"/>
  <c r="AA22" i="2"/>
  <c r="W22" i="2"/>
  <c r="X22" i="2"/>
  <c r="Y22" i="2"/>
  <c r="Z22" i="2"/>
  <c r="R22" i="2"/>
  <c r="S22" i="2"/>
  <c r="T22" i="2"/>
  <c r="U22" i="2"/>
  <c r="V22" i="2"/>
  <c r="P22" i="2"/>
  <c r="Q22" i="2"/>
  <c r="F22" i="2"/>
  <c r="G22" i="2"/>
  <c r="H22" i="2"/>
  <c r="I22" i="2"/>
  <c r="J22" i="2"/>
  <c r="K22" i="2"/>
  <c r="L22" i="2"/>
  <c r="M22" i="2"/>
  <c r="N22" i="2"/>
  <c r="O22" i="2"/>
  <c r="E22" i="2"/>
  <c r="AE26" i="1"/>
  <c r="AF26" i="1"/>
  <c r="AG26" i="1"/>
  <c r="AH26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3" i="1"/>
  <c r="AA26" i="1"/>
  <c r="AB26" i="1"/>
  <c r="AC26" i="1"/>
  <c r="AD26" i="1"/>
  <c r="Y26" i="1"/>
  <c r="Z26" i="1"/>
  <c r="U26" i="1"/>
  <c r="V26" i="1"/>
  <c r="W26" i="1"/>
  <c r="X26" i="1"/>
  <c r="S26" i="1"/>
  <c r="T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E26" i="1"/>
  <c r="AE22" i="2" l="1"/>
  <c r="AI26" i="1"/>
  <c r="C6" i="18" l="1"/>
  <c r="C5" i="18"/>
  <c r="C3" i="18"/>
  <c r="C12" i="18"/>
  <c r="C11" i="18"/>
  <c r="C4" i="18"/>
  <c r="C7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  <author>Inesa Horodinka</author>
  </authors>
  <commentList>
    <comment ref="F7" authorId="0" shapeId="0" xr:uid="{2BFBD059-7E6A-4916-8C42-7F5C57E9B849}">
      <text>
        <r>
          <rPr>
            <b/>
            <sz val="9"/>
            <color indexed="81"/>
            <rFont val="Tahoma"/>
            <family val="2"/>
          </rPr>
          <t xml:space="preserve">we borrowed it and now got back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" authorId="0" shapeId="0" xr:uid="{00194A8F-4DFF-47AC-876E-E6490F10FF70}">
      <text>
        <r>
          <rPr>
            <b/>
            <sz val="9"/>
            <color indexed="81"/>
            <rFont val="Tahoma"/>
            <family val="2"/>
          </rPr>
          <t xml:space="preserve">I give to him one from dam17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8" authorId="1" shapeId="0" xr:uid="{B3D88231-1F65-4579-9BB6-3403DC624055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From LWA 2</t>
        </r>
      </text>
    </comment>
    <comment ref="L8" authorId="1" shapeId="0" xr:uid="{70761230-4524-4A89-B5EB-65E7AFD71FB3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From LWA 1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Inesa Horodinka</author>
  </authors>
  <commentList>
    <comment ref="B8" authorId="0" shapeId="0" xr:uid="{3FFF5566-2C88-4AE8-A262-A71D6868C5BA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we borrowed it and now got back</t>
        </r>
      </text>
    </comment>
    <comment ref="B9" authorId="0" shapeId="0" xr:uid="{BA659A3A-C6F7-4C49-BEE0-88E6F80CDF8B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I give to him one from dam17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Inesa Horodinka</author>
  </authors>
  <commentList>
    <comment ref="B7" authorId="0" shapeId="0" xr:uid="{30E10B5C-2DB0-49D5-84A2-1BC538A0E891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1 of them MP stock</t>
        </r>
      </text>
    </comment>
    <comment ref="B8" authorId="0" shapeId="0" xr:uid="{4700A678-68A9-4081-9BA7-CDA0B6CE0204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1 of them MP stock
</t>
        </r>
      </text>
    </comment>
    <comment ref="K13" authorId="0" shapeId="0" xr:uid="{47B79774-A900-45F3-8357-13B1155C204B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we use one from stock + one from returned stock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  <author>Inesa Horodinka</author>
  </authors>
  <commentList>
    <comment ref="R3" authorId="0" shapeId="0" xr:uid="{E2721AC4-03B4-4E7B-B154-7B6A0E0410C9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we shipped 4
</t>
        </r>
      </text>
    </comment>
    <comment ref="B7" authorId="1" shapeId="0" xr:uid="{B0A30B04-BEFE-41CC-83D7-38C54D084288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1 of them MP stock</t>
        </r>
      </text>
    </comment>
    <comment ref="B8" authorId="1" shapeId="0" xr:uid="{A87E0C69-1B09-42A7-B812-B8440C10CB62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1 of them MP stock
</t>
        </r>
      </text>
    </comment>
    <comment ref="J9" authorId="0" shapeId="0" xr:uid="{AC8FD40C-4E37-4A13-A96D-E84132C30BA2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we shipped 18</t>
        </r>
      </text>
    </comment>
    <comment ref="B11" authorId="1" shapeId="0" xr:uid="{2E000D95-C230-411B-8B2C-AE236984F48C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we put for LWA an we fixed on 03.03.2026 11 units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Inesa Horodinka</author>
  </authors>
  <commentList>
    <comment ref="A10" authorId="0" shapeId="0" xr:uid="{2FD26715-3E16-46F9-A3C3-5C1FC3B1E8A7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 invoice to us </t>
        </r>
      </text>
    </comment>
  </commentList>
</comments>
</file>

<file path=xl/sharedStrings.xml><?xml version="1.0" encoding="utf-8"?>
<sst xmlns="http://schemas.openxmlformats.org/spreadsheetml/2006/main" count="925" uniqueCount="189">
  <si>
    <t xml:space="preserve">January </t>
  </si>
  <si>
    <t xml:space="preserve">Product name </t>
  </si>
  <si>
    <t xml:space="preserve">Batch </t>
  </si>
  <si>
    <t>Exp</t>
  </si>
  <si>
    <t xml:space="preserve">MP </t>
  </si>
  <si>
    <t>MP</t>
  </si>
  <si>
    <t>Botox 100 UK</t>
  </si>
  <si>
    <t>C8478AC4</t>
  </si>
  <si>
    <t>C8803C3</t>
  </si>
  <si>
    <t>D0018C3</t>
  </si>
  <si>
    <t>D0001C3</t>
  </si>
  <si>
    <t>C7702AC4</t>
  </si>
  <si>
    <t>Botox 50</t>
  </si>
  <si>
    <t>C8793AC4</t>
  </si>
  <si>
    <t>C8783C2</t>
  </si>
  <si>
    <t>C8074C2</t>
  </si>
  <si>
    <t>D0060AC4</t>
  </si>
  <si>
    <t>Botox 100 TR</t>
  </si>
  <si>
    <t>C7840AC4</t>
  </si>
  <si>
    <t>C8613C3</t>
  </si>
  <si>
    <t>C8652C3</t>
  </si>
  <si>
    <t xml:space="preserve">Dysport 500 CZ </t>
  </si>
  <si>
    <t>A78827</t>
  </si>
  <si>
    <t>10.25</t>
  </si>
  <si>
    <t>Dysport 500 TR</t>
  </si>
  <si>
    <t>004464</t>
  </si>
  <si>
    <t>01.26</t>
  </si>
  <si>
    <t>001396</t>
  </si>
  <si>
    <t>001143</t>
  </si>
  <si>
    <t>001281</t>
  </si>
  <si>
    <t>Xeomin</t>
  </si>
  <si>
    <t>326304</t>
  </si>
  <si>
    <t>331927</t>
  </si>
  <si>
    <t>Ozempic 1mg UK</t>
  </si>
  <si>
    <t>PP5K808</t>
  </si>
  <si>
    <t>PP5K749</t>
  </si>
  <si>
    <t>PP5K781</t>
  </si>
  <si>
    <t>Ozempic 0.5mg UK</t>
  </si>
  <si>
    <t>PP5K419</t>
  </si>
  <si>
    <t>Total</t>
  </si>
  <si>
    <t>February</t>
  </si>
  <si>
    <t>D0116C3</t>
  </si>
  <si>
    <t>D0029C4</t>
  </si>
  <si>
    <t xml:space="preserve">Botox 100 CZ </t>
  </si>
  <si>
    <t>C8716C3</t>
  </si>
  <si>
    <t>002179</t>
  </si>
  <si>
    <t>003487</t>
  </si>
  <si>
    <t>429113</t>
  </si>
  <si>
    <t>March</t>
  </si>
  <si>
    <t>Activa</t>
  </si>
  <si>
    <t xml:space="preserve">Activa </t>
  </si>
  <si>
    <t>C8765AC4</t>
  </si>
  <si>
    <t>012507</t>
  </si>
  <si>
    <t>Ozempic 1 mg NR</t>
  </si>
  <si>
    <t>PFG3819</t>
  </si>
  <si>
    <t xml:space="preserve">Ozempic 0.25 mg GE </t>
  </si>
  <si>
    <t>PP5N607</t>
  </si>
  <si>
    <t xml:space="preserve">Ozempic 0.5 mg GE </t>
  </si>
  <si>
    <t>PP5N283</t>
  </si>
  <si>
    <t>April</t>
  </si>
  <si>
    <t xml:space="preserve">Return back </t>
  </si>
  <si>
    <t>Returned</t>
  </si>
  <si>
    <t>D0006C3</t>
  </si>
  <si>
    <t xml:space="preserve">Botox 100 TR </t>
  </si>
  <si>
    <t>Botox 100 TR Returned</t>
  </si>
  <si>
    <t>D0158C4</t>
  </si>
  <si>
    <t>31.03.2025</t>
  </si>
  <si>
    <t>C8761C2</t>
  </si>
  <si>
    <t>Dysport 500 TR Returned</t>
  </si>
  <si>
    <t>014207</t>
  </si>
  <si>
    <t>Euflexxa</t>
  </si>
  <si>
    <t>V19707H</t>
  </si>
  <si>
    <t>331928</t>
  </si>
  <si>
    <t>30.11.2027</t>
  </si>
  <si>
    <t>PP5N751</t>
  </si>
  <si>
    <t>May</t>
  </si>
  <si>
    <t>018322</t>
  </si>
  <si>
    <t>31.01.2027</t>
  </si>
  <si>
    <t>015471</t>
  </si>
  <si>
    <t>30.11.2026</t>
  </si>
  <si>
    <t>431322</t>
  </si>
  <si>
    <t>436214</t>
  </si>
  <si>
    <t>Ozempic 1mg NR</t>
  </si>
  <si>
    <t>PP5M095</t>
  </si>
  <si>
    <t xml:space="preserve">Ozempic 1mg SL </t>
  </si>
  <si>
    <t>PFG3961</t>
  </si>
  <si>
    <t xml:space="preserve">Mounjaro </t>
  </si>
  <si>
    <t>D770734</t>
  </si>
  <si>
    <t xml:space="preserve">Letybo </t>
  </si>
  <si>
    <t>CRC24018</t>
  </si>
  <si>
    <t>June</t>
  </si>
  <si>
    <t>Vicbrit</t>
  </si>
  <si>
    <t>D0205AC4</t>
  </si>
  <si>
    <t xml:space="preserve">Botox 100 UK </t>
  </si>
  <si>
    <t>D0166C3</t>
  </si>
  <si>
    <t>D0169C2</t>
  </si>
  <si>
    <t>435023</t>
  </si>
  <si>
    <t>July</t>
  </si>
  <si>
    <t xml:space="preserve">Returned </t>
  </si>
  <si>
    <t>Botox 100 UK  Returned</t>
  </si>
  <si>
    <t>D0178C3</t>
  </si>
  <si>
    <t>30.04.2027</t>
  </si>
  <si>
    <t>020302</t>
  </si>
  <si>
    <t>31.10.2028</t>
  </si>
  <si>
    <t>Ozempic 1mg NR  Returned</t>
  </si>
  <si>
    <t>Ozempic 1mg UK  Returned</t>
  </si>
  <si>
    <t>Ozempic 1mg SL   Returned</t>
  </si>
  <si>
    <t>August</t>
  </si>
  <si>
    <t>D0205C4</t>
  </si>
  <si>
    <t>D0253C4</t>
  </si>
  <si>
    <t>D0385C2</t>
  </si>
  <si>
    <t>021121</t>
  </si>
  <si>
    <t>RP5R271</t>
  </si>
  <si>
    <t>September</t>
  </si>
  <si>
    <t>From Malta 1156</t>
  </si>
  <si>
    <t>UK</t>
  </si>
  <si>
    <t>D0165C3</t>
  </si>
  <si>
    <t xml:space="preserve">October </t>
  </si>
  <si>
    <t>MT</t>
  </si>
  <si>
    <t xml:space="preserve">UK </t>
  </si>
  <si>
    <t>Returned Botox 100 TR</t>
  </si>
  <si>
    <t>Dysport 500 2vial UK</t>
  </si>
  <si>
    <t>Dysport 300 UK</t>
  </si>
  <si>
    <t>024818</t>
  </si>
  <si>
    <t xml:space="preserve">November </t>
  </si>
  <si>
    <t xml:space="preserve">MT </t>
  </si>
  <si>
    <t xml:space="preserve">Botox 100 PL </t>
  </si>
  <si>
    <t>Ozempic 1mg UK non- EN</t>
  </si>
  <si>
    <t>December</t>
  </si>
  <si>
    <t>January</t>
  </si>
  <si>
    <t>Returned product 15.01.2026</t>
  </si>
  <si>
    <t>Order 1 – Patty Keefe:  6 x Ozempic 1mg NON-ENG</t>
  </si>
  <si>
    <t>Order 2 – Katya Kulic:  5 x Botox 100 TR</t>
  </si>
  <si>
    <t>Order 3 – Christine Canterbury: 1 x Dysport 500 TR, 1 x Dysport 2x500 UK</t>
  </si>
  <si>
    <t>Order 5 – Ada Cruz: 2 x Botox 100 TR</t>
  </si>
  <si>
    <t>Order 6 – Hind Faisal: 1 x Botox 100 TR, 1 x Botox 100 UK</t>
  </si>
  <si>
    <t>Order 7 – Arsheen Memom: 1 x Dysport  2x500 UK, 1 x Botox 100  TR</t>
  </si>
  <si>
    <t>Order 8 – Jacki Carlile-Smith: 4 x Dysport 500 TR, 2 x Botox 100 TR, 2 x Xeomin</t>
  </si>
  <si>
    <t>Order 13 – Mari Gonzalez: 2 x Botox 100 TR, 2 x Xeomin</t>
  </si>
  <si>
    <t>Order 16 – Elizabeth Skelly: 3 x Dysport 500 TR</t>
  </si>
  <si>
    <t>Order 18 – Teresa Irwin: 1 x Dysport 2x500 UK</t>
  </si>
  <si>
    <t>Order 19 – Crystal Landgraf: 1 x Dysport 2x500 UK</t>
  </si>
  <si>
    <t xml:space="preserve">February </t>
  </si>
  <si>
    <t xml:space="preserve">Ozempic 1mg  non- EN SK </t>
  </si>
  <si>
    <t>(-1) order Brian Levitin</t>
  </si>
  <si>
    <t xml:space="preserve">(-1) order Jared Palmer </t>
  </si>
  <si>
    <t>(-2 ) ORDER 6 Patty Keefe</t>
  </si>
  <si>
    <t>Returned UK</t>
  </si>
  <si>
    <t>Stock take</t>
  </si>
  <si>
    <t xml:space="preserve">Botox 50 Uk </t>
  </si>
  <si>
    <t xml:space="preserve">Bocouture 50 </t>
  </si>
  <si>
    <t>(-2 ) ORDER 4 Matthew Johnson</t>
  </si>
  <si>
    <t xml:space="preserve">(-4) order 1 Kelly Olsen </t>
  </si>
  <si>
    <t>(-1Botox 100 Tr )</t>
  </si>
  <si>
    <t>(-1 Dysport 500 TR)</t>
  </si>
  <si>
    <t>(-2 )Order David Mueller</t>
  </si>
  <si>
    <t xml:space="preserve">(-1 Xeomin) Order 5 Alexa Moccia </t>
  </si>
  <si>
    <t>(-1 Xeomin )</t>
  </si>
  <si>
    <t>(-2 xeomin)</t>
  </si>
  <si>
    <t>(-3) OrderVictor Kim</t>
  </si>
  <si>
    <t xml:space="preserve">April </t>
  </si>
  <si>
    <t>POL</t>
  </si>
  <si>
    <t xml:space="preserve">Bocouture 100 </t>
  </si>
  <si>
    <t>6 Botox 100 Tr</t>
  </si>
  <si>
    <t>1  Botox 100 Uk</t>
  </si>
  <si>
    <t>4 Dysport 500 TR</t>
  </si>
  <si>
    <t xml:space="preserve">4 Dysport 500 UK </t>
  </si>
  <si>
    <t xml:space="preserve">May </t>
  </si>
  <si>
    <t xml:space="preserve">POL </t>
  </si>
  <si>
    <t>(-4 Order1)</t>
  </si>
  <si>
    <t>D1025AC4</t>
  </si>
  <si>
    <t>029036</t>
  </si>
  <si>
    <t>027111</t>
  </si>
  <si>
    <t>D1023C4</t>
  </si>
  <si>
    <t>Botox 50 UK</t>
  </si>
  <si>
    <t xml:space="preserve">Xeomin </t>
  </si>
  <si>
    <t>438766</t>
  </si>
  <si>
    <t>437315</t>
  </si>
  <si>
    <t xml:space="preserve">Total </t>
  </si>
  <si>
    <t>026121</t>
  </si>
  <si>
    <t>026018</t>
  </si>
  <si>
    <t>D0598C3</t>
  </si>
  <si>
    <t>D0420C2</t>
  </si>
  <si>
    <t>D0390C2</t>
  </si>
  <si>
    <t>D0629C3</t>
  </si>
  <si>
    <t>D0810AC4</t>
  </si>
  <si>
    <t>Do646C3</t>
  </si>
  <si>
    <t>Returned product 21.01.2026</t>
  </si>
  <si>
    <t>Order 1 - Amanda Yahyai: 10x Botox 100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</si>
</sst>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"/>
      <family val="2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2" fontId="0" fillId="3" borderId="1" xfId="0" applyNumberFormat="1" applyFill="1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center"/>
    </xf>
    <xf numFmtId="17" fontId="0" fillId="2" borderId="1" xfId="0" applyNumberFormat="1" applyFill="1" applyBorder="1"/>
    <xf numFmtId="0" fontId="0" fillId="4" borderId="1" xfId="0" applyFill="1" applyBorder="1"/>
    <xf numFmtId="49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17" fontId="0" fillId="2" borderId="1" xfId="0" applyNumberFormat="1" applyFill="1" applyBorder="1" applyAlignment="1">
      <alignment horizontal="center"/>
    </xf>
    <xf numFmtId="17" fontId="0" fillId="4" borderId="1" xfId="0" applyNumberFormat="1" applyFill="1" applyBorder="1" applyAlignment="1">
      <alignment horizontal="center"/>
    </xf>
    <xf numFmtId="0" fontId="0" fillId="5" borderId="1" xfId="0" applyFill="1" applyBorder="1"/>
    <xf numFmtId="17" fontId="0" fillId="2" borderId="1" xfId="0" applyNumberFormat="1" applyFill="1" applyBorder="1" applyAlignment="1">
      <alignment horizontal="right"/>
    </xf>
    <xf numFmtId="49" fontId="0" fillId="4" borderId="1" xfId="0" applyNumberFormat="1" applyFill="1" applyBorder="1" applyAlignment="1">
      <alignment horizontal="right"/>
    </xf>
    <xf numFmtId="0" fontId="3" fillId="0" borderId="1" xfId="0" applyFont="1" applyBorder="1"/>
    <xf numFmtId="0" fontId="3" fillId="2" borderId="1" xfId="0" applyFont="1" applyFill="1" applyBorder="1" applyAlignment="1">
      <alignment horizontal="right"/>
    </xf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right"/>
    </xf>
    <xf numFmtId="0" fontId="3" fillId="4" borderId="2" xfId="0" applyFont="1" applyFill="1" applyBorder="1" applyAlignment="1">
      <alignment horizontal="right"/>
    </xf>
    <xf numFmtId="0" fontId="3" fillId="4" borderId="2" xfId="0" applyFont="1" applyFill="1" applyBorder="1"/>
    <xf numFmtId="0" fontId="0" fillId="2" borderId="1" xfId="0" applyFill="1" applyBorder="1" applyAlignment="1">
      <alignment horizontal="center"/>
    </xf>
    <xf numFmtId="0" fontId="7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49" fontId="0" fillId="7" borderId="0" xfId="0" applyNumberFormat="1" applyFill="1"/>
    <xf numFmtId="0" fontId="0" fillId="7" borderId="0" xfId="0" applyFill="1"/>
    <xf numFmtId="0" fontId="0" fillId="8" borderId="1" xfId="0" applyFill="1" applyBorder="1"/>
    <xf numFmtId="0" fontId="0" fillId="9" borderId="1" xfId="0" applyFill="1" applyBorder="1"/>
    <xf numFmtId="0" fontId="0" fillId="2" borderId="1" xfId="0" applyFill="1" applyBorder="1" applyAlignment="1">
      <alignment horizontal="left"/>
    </xf>
    <xf numFmtId="49" fontId="0" fillId="0" borderId="1" xfId="0" applyNumberFormat="1" applyBorder="1"/>
    <xf numFmtId="17" fontId="0" fillId="0" borderId="1" xfId="0" applyNumberFormat="1" applyBorder="1"/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AI26"/>
  <sheetViews>
    <sheetView topLeftCell="G1" workbookViewId="0">
      <selection activeCell="A24" sqref="A24:XFD24"/>
    </sheetView>
  </sheetViews>
  <sheetFormatPr defaultRowHeight="14.4" x14ac:dyDescent="0.3"/>
  <cols>
    <col min="1" max="1" width="14.44140625" customWidth="1"/>
    <col min="2" max="2" width="9.33203125" bestFit="1" customWidth="1"/>
    <col min="3" max="3" width="6" bestFit="1" customWidth="1"/>
  </cols>
  <sheetData>
    <row r="1" spans="1:35" x14ac:dyDescent="0.3">
      <c r="A1" s="43" t="s">
        <v>0</v>
      </c>
      <c r="B1" s="43"/>
      <c r="C1" s="43"/>
      <c r="D1" s="1"/>
      <c r="E1" s="9">
        <v>37257</v>
      </c>
      <c r="F1" s="9">
        <v>37622</v>
      </c>
      <c r="G1" s="9">
        <v>37622</v>
      </c>
      <c r="H1" s="9">
        <v>38718</v>
      </c>
      <c r="I1" s="9">
        <v>39083</v>
      </c>
      <c r="J1" s="9">
        <v>39083</v>
      </c>
      <c r="K1" s="9">
        <v>39448</v>
      </c>
      <c r="L1" s="9">
        <v>39814</v>
      </c>
      <c r="M1" s="9">
        <v>40179</v>
      </c>
      <c r="N1" s="9">
        <v>41275</v>
      </c>
      <c r="O1" s="9">
        <v>41640</v>
      </c>
      <c r="P1" s="9">
        <v>42005</v>
      </c>
      <c r="Q1" s="9">
        <v>42370</v>
      </c>
      <c r="R1" s="9">
        <v>42736</v>
      </c>
      <c r="S1" s="9">
        <v>43831</v>
      </c>
      <c r="T1" s="9">
        <v>43831</v>
      </c>
      <c r="U1" s="9">
        <v>43831</v>
      </c>
      <c r="V1" s="9">
        <v>44197</v>
      </c>
      <c r="W1" s="9">
        <v>44197</v>
      </c>
      <c r="X1" s="9">
        <v>44562</v>
      </c>
      <c r="Y1" s="9">
        <v>44562</v>
      </c>
      <c r="Z1" s="9">
        <v>44927</v>
      </c>
      <c r="AA1" s="9">
        <v>45292</v>
      </c>
      <c r="AB1" s="9">
        <v>46388</v>
      </c>
      <c r="AC1" s="9">
        <v>46753</v>
      </c>
      <c r="AD1" s="9">
        <v>46753</v>
      </c>
      <c r="AE1" s="9">
        <v>47119</v>
      </c>
      <c r="AF1" s="9">
        <v>10959</v>
      </c>
      <c r="AG1" s="9">
        <v>10959</v>
      </c>
      <c r="AH1" s="9">
        <v>11324</v>
      </c>
      <c r="AI1" s="1"/>
    </row>
    <row r="2" spans="1:35" x14ac:dyDescent="0.3">
      <c r="A2" s="1" t="s">
        <v>1</v>
      </c>
      <c r="B2" s="1" t="s">
        <v>2</v>
      </c>
      <c r="C2" s="1" t="s">
        <v>3</v>
      </c>
      <c r="D2" s="1"/>
      <c r="E2" s="1"/>
      <c r="F2" s="1"/>
      <c r="G2" s="1" t="s">
        <v>4</v>
      </c>
      <c r="H2" s="1"/>
      <c r="I2" s="1"/>
      <c r="J2" s="1" t="s">
        <v>4</v>
      </c>
      <c r="K2" s="1"/>
      <c r="L2" s="1"/>
      <c r="M2" s="1"/>
      <c r="N2" s="1"/>
      <c r="O2" s="1"/>
      <c r="P2" s="1"/>
      <c r="Q2" s="1"/>
      <c r="R2" s="1"/>
      <c r="S2" s="1" t="s">
        <v>5</v>
      </c>
      <c r="T2" s="1"/>
      <c r="U2" s="1"/>
      <c r="V2" s="1"/>
      <c r="W2" s="1" t="s">
        <v>5</v>
      </c>
      <c r="X2" s="1"/>
      <c r="Y2" s="1" t="s">
        <v>5</v>
      </c>
      <c r="Z2" s="1"/>
      <c r="AA2" s="1"/>
      <c r="AB2" s="1"/>
      <c r="AC2" s="1" t="s">
        <v>4</v>
      </c>
      <c r="AD2" s="1"/>
      <c r="AE2" s="1"/>
      <c r="AF2" s="1"/>
      <c r="AG2" s="1" t="s">
        <v>5</v>
      </c>
      <c r="AH2" s="1"/>
      <c r="AI2" s="1"/>
    </row>
    <row r="3" spans="1:35" x14ac:dyDescent="0.3">
      <c r="A3" s="2" t="s">
        <v>6</v>
      </c>
      <c r="B3" s="3" t="s">
        <v>7</v>
      </c>
      <c r="C3" s="4"/>
      <c r="D3" s="1">
        <v>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1">
        <f>SUM(D3:AH3)</f>
        <v>0</v>
      </c>
    </row>
    <row r="4" spans="1:35" ht="17.399999999999999" customHeight="1" x14ac:dyDescent="0.3">
      <c r="A4" s="2" t="s">
        <v>6</v>
      </c>
      <c r="B4" s="3" t="s">
        <v>8</v>
      </c>
      <c r="C4" s="4">
        <v>7.26</v>
      </c>
      <c r="D4" s="1">
        <v>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1">
        <f t="shared" ref="AI4:AI26" si="0">SUM(D4:AH4)</f>
        <v>0</v>
      </c>
    </row>
    <row r="5" spans="1:35" x14ac:dyDescent="0.3">
      <c r="A5" s="2" t="s">
        <v>6</v>
      </c>
      <c r="B5" s="3" t="s">
        <v>9</v>
      </c>
      <c r="C5" s="4">
        <v>1.27</v>
      </c>
      <c r="D5" s="1">
        <v>0</v>
      </c>
      <c r="E5" s="2"/>
      <c r="F5" s="2"/>
      <c r="G5" s="2"/>
      <c r="H5" s="2"/>
      <c r="I5" s="2"/>
      <c r="J5" s="2">
        <v>200</v>
      </c>
      <c r="K5" s="2">
        <v>-1</v>
      </c>
      <c r="L5" s="2">
        <v>-10</v>
      </c>
      <c r="M5" s="2"/>
      <c r="N5" s="2">
        <v>-9</v>
      </c>
      <c r="O5" s="2">
        <v>-4</v>
      </c>
      <c r="P5" s="2">
        <v>-18</v>
      </c>
      <c r="Q5" s="2">
        <v>-10</v>
      </c>
      <c r="R5" s="2">
        <v>-18</v>
      </c>
      <c r="S5" s="2"/>
      <c r="T5" s="2">
        <v>-10</v>
      </c>
      <c r="U5" s="2"/>
      <c r="V5" s="2">
        <v>-1</v>
      </c>
      <c r="W5" s="2"/>
      <c r="X5" s="2">
        <v>-10</v>
      </c>
      <c r="Y5" s="2"/>
      <c r="Z5" s="2">
        <v>-5</v>
      </c>
      <c r="AA5" s="2">
        <v>-2</v>
      </c>
      <c r="AB5" s="2">
        <v>-3</v>
      </c>
      <c r="AC5" s="2"/>
      <c r="AD5" s="2">
        <v>-8</v>
      </c>
      <c r="AE5" s="2"/>
      <c r="AF5" s="2">
        <v>-8</v>
      </c>
      <c r="AG5" s="2"/>
      <c r="AH5" s="2">
        <v>-4</v>
      </c>
      <c r="AI5" s="1">
        <f t="shared" si="0"/>
        <v>79</v>
      </c>
    </row>
    <row r="6" spans="1:35" x14ac:dyDescent="0.3">
      <c r="A6" s="2" t="s">
        <v>6</v>
      </c>
      <c r="B6" s="3" t="s">
        <v>10</v>
      </c>
      <c r="C6" s="5">
        <v>1.27</v>
      </c>
      <c r="D6" s="1">
        <v>64</v>
      </c>
      <c r="E6" s="2">
        <v>-41</v>
      </c>
      <c r="F6" s="2">
        <v>-16</v>
      </c>
      <c r="G6" s="2"/>
      <c r="H6" s="2">
        <v>-4</v>
      </c>
      <c r="I6" s="2"/>
      <c r="J6" s="2"/>
      <c r="K6" s="2">
        <v>-3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1">
        <f t="shared" si="0"/>
        <v>0</v>
      </c>
    </row>
    <row r="7" spans="1:35" x14ac:dyDescent="0.3">
      <c r="A7" s="2" t="s">
        <v>6</v>
      </c>
      <c r="B7" s="3" t="s">
        <v>11</v>
      </c>
      <c r="C7" s="4">
        <v>4.25</v>
      </c>
      <c r="D7" s="1">
        <v>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1">
        <f t="shared" si="0"/>
        <v>0</v>
      </c>
    </row>
    <row r="8" spans="1:35" x14ac:dyDescent="0.3">
      <c r="A8" s="2" t="s">
        <v>12</v>
      </c>
      <c r="B8" s="3" t="s">
        <v>13</v>
      </c>
      <c r="C8" s="4">
        <v>7.26</v>
      </c>
      <c r="D8" s="1">
        <v>20</v>
      </c>
      <c r="E8" s="2">
        <v>-5</v>
      </c>
      <c r="F8" s="2"/>
      <c r="G8" s="2"/>
      <c r="H8" s="2"/>
      <c r="I8" s="2"/>
      <c r="J8" s="2"/>
      <c r="K8" s="2">
        <v>-5</v>
      </c>
      <c r="L8" s="2"/>
      <c r="M8" s="2"/>
      <c r="N8" s="2"/>
      <c r="O8" s="2">
        <v>-3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>
        <v>-6</v>
      </c>
      <c r="AB8" s="2"/>
      <c r="AC8" s="2"/>
      <c r="AD8" s="2"/>
      <c r="AE8" s="2"/>
      <c r="AF8" s="2"/>
      <c r="AG8" s="2"/>
      <c r="AH8" s="2"/>
      <c r="AI8" s="1">
        <f t="shared" si="0"/>
        <v>1</v>
      </c>
    </row>
    <row r="9" spans="1:35" x14ac:dyDescent="0.3">
      <c r="A9" s="2" t="s">
        <v>12</v>
      </c>
      <c r="B9" s="3" t="s">
        <v>14</v>
      </c>
      <c r="C9" s="4">
        <v>7.26</v>
      </c>
      <c r="D9" s="1">
        <v>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1">
        <f t="shared" si="0"/>
        <v>0</v>
      </c>
    </row>
    <row r="10" spans="1:35" x14ac:dyDescent="0.3">
      <c r="A10" s="2" t="s">
        <v>12</v>
      </c>
      <c r="B10" s="3" t="s">
        <v>15</v>
      </c>
      <c r="C10" s="4">
        <v>9.25</v>
      </c>
      <c r="D10" s="1">
        <v>3</v>
      </c>
      <c r="E10" s="2"/>
      <c r="F10" s="2"/>
      <c r="G10" s="2"/>
      <c r="H10" s="2"/>
      <c r="I10" s="2"/>
      <c r="J10" s="2"/>
      <c r="K10" s="2">
        <v>-1</v>
      </c>
      <c r="L10" s="2"/>
      <c r="M10" s="2"/>
      <c r="N10" s="2"/>
      <c r="O10" s="2">
        <v>-2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1">
        <f t="shared" si="0"/>
        <v>0</v>
      </c>
    </row>
    <row r="11" spans="1:35" x14ac:dyDescent="0.3">
      <c r="A11" s="2" t="s">
        <v>12</v>
      </c>
      <c r="B11" s="3" t="s">
        <v>16</v>
      </c>
      <c r="C11" s="4">
        <v>2.27</v>
      </c>
      <c r="D11" s="1">
        <v>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>
        <v>20</v>
      </c>
      <c r="X11" s="2"/>
      <c r="Y11" s="2"/>
      <c r="Z11" s="2"/>
      <c r="AA11" s="2"/>
      <c r="AB11" s="2">
        <v>-1</v>
      </c>
      <c r="AC11" s="2"/>
      <c r="AD11" s="2"/>
      <c r="AE11" s="2">
        <v>-2</v>
      </c>
      <c r="AF11" s="2"/>
      <c r="AG11" s="2"/>
      <c r="AH11" s="2"/>
      <c r="AI11" s="1">
        <f t="shared" si="0"/>
        <v>17</v>
      </c>
    </row>
    <row r="12" spans="1:35" x14ac:dyDescent="0.3">
      <c r="A12" s="2" t="s">
        <v>17</v>
      </c>
      <c r="B12" s="3" t="s">
        <v>18</v>
      </c>
      <c r="C12" s="4">
        <v>5.25</v>
      </c>
      <c r="D12" s="1">
        <v>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>
        <v>4</v>
      </c>
      <c r="T12" s="2">
        <v>-1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1">
        <f t="shared" si="0"/>
        <v>3</v>
      </c>
    </row>
    <row r="13" spans="1:35" x14ac:dyDescent="0.3">
      <c r="A13" s="2" t="s">
        <v>17</v>
      </c>
      <c r="B13" s="3" t="s">
        <v>19</v>
      </c>
      <c r="C13" s="4">
        <v>5.26</v>
      </c>
      <c r="D13" s="1">
        <v>25</v>
      </c>
      <c r="E13" s="2"/>
      <c r="F13" s="2"/>
      <c r="G13" s="2">
        <v>100</v>
      </c>
      <c r="H13" s="2"/>
      <c r="I13" s="2">
        <v>-24</v>
      </c>
      <c r="J13" s="2"/>
      <c r="K13" s="2">
        <v>-3</v>
      </c>
      <c r="L13" s="2"/>
      <c r="M13" s="2">
        <v>-10</v>
      </c>
      <c r="N13" s="2">
        <v>-6</v>
      </c>
      <c r="O13" s="2">
        <v>-16</v>
      </c>
      <c r="P13" s="2">
        <v>-34</v>
      </c>
      <c r="Q13" s="2">
        <v>-2</v>
      </c>
      <c r="R13" s="2">
        <v>-17</v>
      </c>
      <c r="S13" s="2"/>
      <c r="T13" s="2">
        <v>-13</v>
      </c>
      <c r="U13" s="2">
        <v>50</v>
      </c>
      <c r="V13" s="2">
        <v>-12</v>
      </c>
      <c r="W13" s="2"/>
      <c r="X13" s="2"/>
      <c r="Y13" s="2">
        <v>50</v>
      </c>
      <c r="Z13" s="2">
        <v>-5</v>
      </c>
      <c r="AA13" s="2">
        <v>-25</v>
      </c>
      <c r="AB13" s="2">
        <v>-8</v>
      </c>
      <c r="AC13" s="2"/>
      <c r="AD13" s="2">
        <v>-9</v>
      </c>
      <c r="AE13" s="2">
        <v>-1</v>
      </c>
      <c r="AF13" s="2">
        <v>-5</v>
      </c>
      <c r="AG13" s="2">
        <v>100</v>
      </c>
      <c r="AH13" s="2">
        <v>-15</v>
      </c>
      <c r="AI13" s="1">
        <f t="shared" si="0"/>
        <v>120</v>
      </c>
    </row>
    <row r="14" spans="1:35" x14ac:dyDescent="0.3">
      <c r="A14" s="2" t="s">
        <v>17</v>
      </c>
      <c r="B14" s="6" t="s">
        <v>20</v>
      </c>
      <c r="C14" s="2">
        <v>5.26</v>
      </c>
      <c r="D14" s="1">
        <v>40</v>
      </c>
      <c r="E14" s="2">
        <v>-8</v>
      </c>
      <c r="F14" s="2">
        <v>-8</v>
      </c>
      <c r="G14" s="2"/>
      <c r="H14" s="2">
        <v>-21</v>
      </c>
      <c r="I14" s="2">
        <v>-3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1">
        <f t="shared" si="0"/>
        <v>0</v>
      </c>
    </row>
    <row r="15" spans="1:35" x14ac:dyDescent="0.3">
      <c r="A15" s="2" t="s">
        <v>21</v>
      </c>
      <c r="B15" s="6" t="s">
        <v>22</v>
      </c>
      <c r="C15" s="7" t="s">
        <v>23</v>
      </c>
      <c r="D15" s="1">
        <v>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1">
        <f t="shared" si="0"/>
        <v>0</v>
      </c>
    </row>
    <row r="16" spans="1:35" x14ac:dyDescent="0.3">
      <c r="A16" s="2" t="s">
        <v>24</v>
      </c>
      <c r="B16" s="8" t="s">
        <v>25</v>
      </c>
      <c r="C16" s="7" t="s">
        <v>26</v>
      </c>
      <c r="D16" s="1">
        <v>0</v>
      </c>
      <c r="E16" s="2"/>
      <c r="F16" s="2"/>
      <c r="G16" s="2">
        <v>50</v>
      </c>
      <c r="H16" s="2"/>
      <c r="I16" s="2">
        <v>-1</v>
      </c>
      <c r="J16" s="2"/>
      <c r="K16" s="2"/>
      <c r="L16" s="2">
        <v>-3</v>
      </c>
      <c r="M16" s="2"/>
      <c r="N16" s="2"/>
      <c r="O16" s="2">
        <v>-9</v>
      </c>
      <c r="P16" s="2"/>
      <c r="Q16" s="2"/>
      <c r="R16" s="2">
        <v>-7</v>
      </c>
      <c r="S16" s="2"/>
      <c r="T16" s="2"/>
      <c r="U16" s="2"/>
      <c r="V16" s="2"/>
      <c r="W16" s="2"/>
      <c r="X16" s="2"/>
      <c r="Y16" s="2">
        <v>50</v>
      </c>
      <c r="Z16" s="2"/>
      <c r="AA16" s="2">
        <v>-2</v>
      </c>
      <c r="AB16" s="2"/>
      <c r="AC16" s="2"/>
      <c r="AD16" s="2">
        <v>-11</v>
      </c>
      <c r="AE16" s="2">
        <v>-19</v>
      </c>
      <c r="AF16" s="2">
        <v>-7</v>
      </c>
      <c r="AG16" s="2"/>
      <c r="AH16" s="2">
        <v>-17</v>
      </c>
      <c r="AI16" s="1">
        <f t="shared" si="0"/>
        <v>24</v>
      </c>
    </row>
    <row r="17" spans="1:35" ht="13.95" customHeight="1" x14ac:dyDescent="0.3">
      <c r="A17" s="2" t="s">
        <v>24</v>
      </c>
      <c r="B17" s="8" t="s">
        <v>27</v>
      </c>
      <c r="C17" s="2">
        <v>12.25</v>
      </c>
      <c r="D17" s="1">
        <v>5</v>
      </c>
      <c r="E17" s="2">
        <v>-5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1">
        <f t="shared" si="0"/>
        <v>0</v>
      </c>
    </row>
    <row r="18" spans="1:35" ht="13.95" customHeight="1" x14ac:dyDescent="0.3">
      <c r="A18" s="2" t="s">
        <v>24</v>
      </c>
      <c r="B18" s="8" t="s">
        <v>28</v>
      </c>
      <c r="C18" s="2">
        <v>12.25</v>
      </c>
      <c r="D18" s="1">
        <v>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>
        <v>50</v>
      </c>
      <c r="V18" s="2"/>
      <c r="W18" s="2"/>
      <c r="X18" s="2">
        <v>-3</v>
      </c>
      <c r="Y18" s="2"/>
      <c r="Z18" s="2">
        <v>-3</v>
      </c>
      <c r="AA18" s="2"/>
      <c r="AB18" s="2">
        <v>-1</v>
      </c>
      <c r="AC18" s="2"/>
      <c r="AD18" s="2"/>
      <c r="AE18" s="2"/>
      <c r="AF18" s="2"/>
      <c r="AG18" s="2"/>
      <c r="AH18" s="2"/>
      <c r="AI18" s="1">
        <f t="shared" si="0"/>
        <v>43</v>
      </c>
    </row>
    <row r="19" spans="1:35" x14ac:dyDescent="0.3">
      <c r="A19" s="2" t="s">
        <v>24</v>
      </c>
      <c r="B19" s="8" t="s">
        <v>29</v>
      </c>
      <c r="C19" s="2">
        <v>12.25</v>
      </c>
      <c r="D19" s="1">
        <v>103</v>
      </c>
      <c r="E19" s="2">
        <v>-23</v>
      </c>
      <c r="F19" s="2">
        <v>-34</v>
      </c>
      <c r="G19" s="2"/>
      <c r="H19" s="2">
        <v>-2</v>
      </c>
      <c r="I19" s="2"/>
      <c r="J19" s="2"/>
      <c r="K19" s="2"/>
      <c r="L19" s="2"/>
      <c r="M19" s="2">
        <v>-5</v>
      </c>
      <c r="N19" s="2"/>
      <c r="O19" s="2"/>
      <c r="P19" s="2">
        <v>-18</v>
      </c>
      <c r="Q19" s="2">
        <v>-14</v>
      </c>
      <c r="R19" s="2"/>
      <c r="S19" s="2"/>
      <c r="T19" s="2">
        <v>-2</v>
      </c>
      <c r="U19" s="2"/>
      <c r="V19" s="2">
        <v>-5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1">
        <f t="shared" si="0"/>
        <v>0</v>
      </c>
    </row>
    <row r="20" spans="1:35" ht="13.2" customHeight="1" x14ac:dyDescent="0.3">
      <c r="A20" s="2" t="s">
        <v>30</v>
      </c>
      <c r="B20" s="8" t="s">
        <v>31</v>
      </c>
      <c r="C20" s="2">
        <v>8.27</v>
      </c>
      <c r="D20" s="1">
        <v>0</v>
      </c>
      <c r="E20" s="2"/>
      <c r="F20" s="2"/>
      <c r="G20" s="2"/>
      <c r="H20" s="2"/>
      <c r="I20" s="2"/>
      <c r="J20" s="2">
        <v>30</v>
      </c>
      <c r="K20" s="2"/>
      <c r="L20" s="2">
        <v>-3</v>
      </c>
      <c r="M20" s="2">
        <v>-6</v>
      </c>
      <c r="N20" s="2"/>
      <c r="O20" s="2"/>
      <c r="P20" s="2"/>
      <c r="Q20" s="2">
        <v>-3</v>
      </c>
      <c r="R20" s="2"/>
      <c r="S20" s="2"/>
      <c r="T20" s="2"/>
      <c r="U20" s="2"/>
      <c r="V20" s="2"/>
      <c r="W20" s="2">
        <v>40</v>
      </c>
      <c r="X20" s="2"/>
      <c r="Y20" s="2"/>
      <c r="Z20" s="2">
        <v>-8</v>
      </c>
      <c r="AA20" s="2">
        <v>-5</v>
      </c>
      <c r="AB20" s="2">
        <v>-8</v>
      </c>
      <c r="AC20" s="2"/>
      <c r="AD20" s="2">
        <v>-5</v>
      </c>
      <c r="AE20" s="2">
        <v>-8</v>
      </c>
      <c r="AF20" s="2">
        <v>-1</v>
      </c>
      <c r="AG20" s="2"/>
      <c r="AH20" s="2"/>
      <c r="AI20" s="1">
        <f t="shared" si="0"/>
        <v>23</v>
      </c>
    </row>
    <row r="21" spans="1:35" x14ac:dyDescent="0.3">
      <c r="A21" s="2" t="s">
        <v>30</v>
      </c>
      <c r="B21" s="8" t="s">
        <v>32</v>
      </c>
      <c r="C21" s="2">
        <v>11.27</v>
      </c>
      <c r="D21" s="1">
        <v>44</v>
      </c>
      <c r="E21" s="2"/>
      <c r="F21" s="2">
        <v>-9</v>
      </c>
      <c r="G21" s="2"/>
      <c r="H21" s="2">
        <v>-4</v>
      </c>
      <c r="I21" s="2">
        <v>-10</v>
      </c>
      <c r="J21" s="2"/>
      <c r="K21" s="2">
        <v>-12</v>
      </c>
      <c r="L21" s="2">
        <v>-9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1">
        <f t="shared" si="0"/>
        <v>0</v>
      </c>
    </row>
    <row r="22" spans="1:35" x14ac:dyDescent="0.3">
      <c r="A22" s="2" t="s">
        <v>33</v>
      </c>
      <c r="B22" s="8" t="s">
        <v>34</v>
      </c>
      <c r="C22" s="2">
        <v>10.26</v>
      </c>
      <c r="D22" s="1">
        <v>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>
        <v>7</v>
      </c>
      <c r="AD22" s="2">
        <v>-5</v>
      </c>
      <c r="AE22" s="2"/>
      <c r="AF22" s="2"/>
      <c r="AG22" s="2"/>
      <c r="AH22" s="2"/>
      <c r="AI22" s="1">
        <f t="shared" si="0"/>
        <v>2</v>
      </c>
    </row>
    <row r="23" spans="1:35" x14ac:dyDescent="0.3">
      <c r="A23" s="2" t="s">
        <v>33</v>
      </c>
      <c r="B23" s="8" t="s">
        <v>35</v>
      </c>
      <c r="C23" s="2">
        <v>9.26</v>
      </c>
      <c r="D23" s="1">
        <v>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>
        <v>3</v>
      </c>
      <c r="AD23" s="2"/>
      <c r="AE23" s="2"/>
      <c r="AF23" s="2">
        <v>-2</v>
      </c>
      <c r="AG23" s="2"/>
      <c r="AH23" s="2"/>
      <c r="AI23" s="1">
        <f t="shared" si="0"/>
        <v>1</v>
      </c>
    </row>
    <row r="24" spans="1:35" x14ac:dyDescent="0.3">
      <c r="A24" s="2" t="s">
        <v>33</v>
      </c>
      <c r="B24" s="6" t="s">
        <v>36</v>
      </c>
      <c r="C24" s="2">
        <v>10.26</v>
      </c>
      <c r="D24" s="1">
        <v>10</v>
      </c>
      <c r="E24" s="2"/>
      <c r="F24" s="2"/>
      <c r="G24" s="2"/>
      <c r="H24" s="2"/>
      <c r="I24" s="2"/>
      <c r="J24" s="2"/>
      <c r="K24" s="2">
        <v>-3</v>
      </c>
      <c r="L24" s="2"/>
      <c r="M24" s="2"/>
      <c r="N24" s="2"/>
      <c r="O24" s="2">
        <v>-3</v>
      </c>
      <c r="P24" s="2"/>
      <c r="Q24" s="2"/>
      <c r="R24" s="2"/>
      <c r="S24" s="2"/>
      <c r="T24" s="2"/>
      <c r="U24" s="2"/>
      <c r="V24" s="2"/>
      <c r="W24" s="2"/>
      <c r="X24" s="2">
        <v>-2</v>
      </c>
      <c r="Y24" s="2"/>
      <c r="Z24" s="2"/>
      <c r="AA24" s="2"/>
      <c r="AB24" s="2"/>
      <c r="AC24" s="2"/>
      <c r="AD24" s="2">
        <v>-2</v>
      </c>
      <c r="AE24" s="2"/>
      <c r="AF24" s="2"/>
      <c r="AG24" s="2"/>
      <c r="AH24" s="2"/>
      <c r="AI24" s="1">
        <f t="shared" si="0"/>
        <v>0</v>
      </c>
    </row>
    <row r="25" spans="1:35" x14ac:dyDescent="0.3">
      <c r="A25" s="2" t="s">
        <v>37</v>
      </c>
      <c r="B25" s="6" t="s">
        <v>38</v>
      </c>
      <c r="C25" s="2">
        <v>8.26</v>
      </c>
      <c r="D25" s="1">
        <v>10</v>
      </c>
      <c r="E25" s="2"/>
      <c r="F25" s="2">
        <v>-1</v>
      </c>
      <c r="G25" s="2"/>
      <c r="H25" s="2"/>
      <c r="I25" s="2"/>
      <c r="J25" s="2"/>
      <c r="K25" s="2">
        <v>-2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>
        <v>-2</v>
      </c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1">
        <f t="shared" si="0"/>
        <v>5</v>
      </c>
    </row>
    <row r="26" spans="1:35" x14ac:dyDescent="0.3">
      <c r="A26" s="1" t="s">
        <v>39</v>
      </c>
      <c r="B26" s="1"/>
      <c r="C26" s="1"/>
      <c r="D26" s="1">
        <v>324</v>
      </c>
      <c r="E26" s="1">
        <f>SUM(E3:E25)</f>
        <v>-82</v>
      </c>
      <c r="F26" s="1">
        <f t="shared" ref="F26:AH26" si="1">SUM(F3:F25)</f>
        <v>-68</v>
      </c>
      <c r="G26" s="1">
        <f t="shared" si="1"/>
        <v>150</v>
      </c>
      <c r="H26" s="1">
        <f t="shared" si="1"/>
        <v>-31</v>
      </c>
      <c r="I26" s="1">
        <f t="shared" si="1"/>
        <v>-38</v>
      </c>
      <c r="J26" s="1">
        <f t="shared" si="1"/>
        <v>230</v>
      </c>
      <c r="K26" s="1">
        <f t="shared" si="1"/>
        <v>-30</v>
      </c>
      <c r="L26" s="1">
        <f t="shared" si="1"/>
        <v>-25</v>
      </c>
      <c r="M26" s="1">
        <f t="shared" si="1"/>
        <v>-21</v>
      </c>
      <c r="N26" s="1">
        <f t="shared" si="1"/>
        <v>-15</v>
      </c>
      <c r="O26" s="1">
        <f t="shared" si="1"/>
        <v>-37</v>
      </c>
      <c r="P26" s="1">
        <f t="shared" si="1"/>
        <v>-70</v>
      </c>
      <c r="Q26" s="1">
        <f t="shared" si="1"/>
        <v>-29</v>
      </c>
      <c r="R26" s="1">
        <f t="shared" si="1"/>
        <v>-42</v>
      </c>
      <c r="S26" s="1">
        <f t="shared" si="1"/>
        <v>4</v>
      </c>
      <c r="T26" s="1">
        <f t="shared" si="1"/>
        <v>-26</v>
      </c>
      <c r="U26" s="1">
        <f t="shared" si="1"/>
        <v>100</v>
      </c>
      <c r="V26" s="1">
        <f t="shared" si="1"/>
        <v>-18</v>
      </c>
      <c r="W26" s="1">
        <f t="shared" si="1"/>
        <v>60</v>
      </c>
      <c r="X26" s="1">
        <f t="shared" si="1"/>
        <v>-17</v>
      </c>
      <c r="Y26" s="1">
        <f t="shared" si="1"/>
        <v>100</v>
      </c>
      <c r="Z26" s="1">
        <f t="shared" si="1"/>
        <v>-21</v>
      </c>
      <c r="AA26" s="1">
        <f t="shared" si="1"/>
        <v>-40</v>
      </c>
      <c r="AB26" s="1">
        <f t="shared" si="1"/>
        <v>-21</v>
      </c>
      <c r="AC26" s="1">
        <f t="shared" si="1"/>
        <v>10</v>
      </c>
      <c r="AD26" s="1">
        <f t="shared" si="1"/>
        <v>-40</v>
      </c>
      <c r="AE26" s="1">
        <f t="shared" si="1"/>
        <v>-30</v>
      </c>
      <c r="AF26" s="1">
        <f t="shared" si="1"/>
        <v>-23</v>
      </c>
      <c r="AG26" s="1">
        <f t="shared" si="1"/>
        <v>100</v>
      </c>
      <c r="AH26" s="1">
        <f t="shared" si="1"/>
        <v>-36</v>
      </c>
      <c r="AI26" s="1">
        <f t="shared" si="0"/>
        <v>318</v>
      </c>
    </row>
  </sheetData>
  <mergeCells count="1">
    <mergeCell ref="A1:C1"/>
  </mergeCells>
  <pageMargins left="0.7" right="0.7" top="0.75" bottom="0.75" header="0.3" footer="0.3"/>
  <pageSetup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E22"/>
  <sheetViews>
    <sheetView workbookViewId="0">
      <selection activeCell="L1" sqref="L1:L1048576"/>
    </sheetView>
  </sheetViews>
  <sheetFormatPr defaultRowHeight="14.4" x14ac:dyDescent="0.3"/>
  <cols>
    <col min="1" max="1" width="16" customWidth="1"/>
    <col min="12" max="31" width="8.88671875" customWidth="1"/>
  </cols>
  <sheetData>
    <row r="1" spans="1:31" x14ac:dyDescent="0.3">
      <c r="A1" s="43" t="s">
        <v>40</v>
      </c>
      <c r="B1" s="43"/>
      <c r="C1" s="43"/>
      <c r="D1" s="1"/>
      <c r="E1" s="9">
        <v>37653</v>
      </c>
      <c r="F1" s="9">
        <v>38018</v>
      </c>
      <c r="G1" s="9">
        <v>38384</v>
      </c>
      <c r="H1" s="9">
        <v>38384</v>
      </c>
      <c r="I1" s="9">
        <v>38749</v>
      </c>
      <c r="J1" s="9">
        <v>39114</v>
      </c>
      <c r="K1" s="9">
        <v>40575</v>
      </c>
      <c r="L1" s="9">
        <v>40575</v>
      </c>
      <c r="M1" s="9">
        <v>40940</v>
      </c>
      <c r="N1" s="9">
        <v>40940</v>
      </c>
      <c r="O1" s="9">
        <v>41306</v>
      </c>
      <c r="P1" s="9">
        <v>41306</v>
      </c>
      <c r="Q1" s="9">
        <v>41671</v>
      </c>
      <c r="R1" s="9">
        <v>41671</v>
      </c>
      <c r="S1" s="9">
        <v>42767</v>
      </c>
      <c r="T1" s="9">
        <v>43132</v>
      </c>
      <c r="U1" s="9">
        <v>43497</v>
      </c>
      <c r="V1" s="9">
        <v>43862</v>
      </c>
      <c r="W1" s="9">
        <v>44228</v>
      </c>
      <c r="X1" s="9">
        <v>45323</v>
      </c>
      <c r="Y1" s="9">
        <v>45689</v>
      </c>
      <c r="Z1" s="9">
        <v>46054</v>
      </c>
      <c r="AA1" s="9">
        <v>46419</v>
      </c>
      <c r="AB1" s="9">
        <v>46054</v>
      </c>
      <c r="AC1" s="9">
        <v>46784</v>
      </c>
      <c r="AD1" s="9"/>
      <c r="AE1" s="1"/>
    </row>
    <row r="2" spans="1:31" x14ac:dyDescent="0.3">
      <c r="A2" s="1" t="s">
        <v>1</v>
      </c>
      <c r="B2" s="1" t="s">
        <v>2</v>
      </c>
      <c r="C2" s="1" t="s">
        <v>3</v>
      </c>
      <c r="D2" s="1"/>
      <c r="E2" s="1"/>
      <c r="F2" s="1"/>
      <c r="G2" s="1" t="s">
        <v>5</v>
      </c>
      <c r="H2" s="1"/>
      <c r="I2" s="1"/>
      <c r="J2" s="1"/>
      <c r="K2" s="1"/>
      <c r="L2" s="1" t="s">
        <v>4</v>
      </c>
      <c r="M2" s="1"/>
      <c r="N2" s="1" t="s">
        <v>4</v>
      </c>
      <c r="O2" s="1"/>
      <c r="P2" s="1" t="s">
        <v>5</v>
      </c>
      <c r="Q2" s="1"/>
      <c r="R2" s="1" t="s">
        <v>4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3">
      <c r="A3" s="2" t="s">
        <v>6</v>
      </c>
      <c r="B3" s="3" t="s">
        <v>41</v>
      </c>
      <c r="C3" s="4">
        <v>2.27</v>
      </c>
      <c r="D3" s="1">
        <v>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>
        <v>100</v>
      </c>
      <c r="AC3" s="2">
        <v>-8</v>
      </c>
      <c r="AD3" s="2"/>
      <c r="AE3" s="1">
        <f>SUM(D3:AD3)</f>
        <v>92</v>
      </c>
    </row>
    <row r="4" spans="1:31" x14ac:dyDescent="0.3">
      <c r="A4" s="2" t="s">
        <v>6</v>
      </c>
      <c r="B4" s="3" t="s">
        <v>9</v>
      </c>
      <c r="C4" s="4">
        <v>1.27</v>
      </c>
      <c r="D4" s="1">
        <v>79</v>
      </c>
      <c r="E4" s="2">
        <v>-15</v>
      </c>
      <c r="F4" s="2">
        <v>-12</v>
      </c>
      <c r="G4" s="2"/>
      <c r="H4" s="2"/>
      <c r="I4" s="2">
        <v>-6</v>
      </c>
      <c r="J4" s="2">
        <v>-16</v>
      </c>
      <c r="K4" s="2">
        <v>-13</v>
      </c>
      <c r="L4" s="2"/>
      <c r="M4" s="2">
        <v>-4</v>
      </c>
      <c r="N4" s="2">
        <v>50</v>
      </c>
      <c r="O4" s="2">
        <v>-10</v>
      </c>
      <c r="P4" s="2">
        <v>50</v>
      </c>
      <c r="Q4" s="2"/>
      <c r="R4" s="2"/>
      <c r="S4" s="2">
        <v>-22</v>
      </c>
      <c r="T4" s="2">
        <v>-10</v>
      </c>
      <c r="U4" s="2">
        <v>-10</v>
      </c>
      <c r="V4" s="2">
        <v>-2</v>
      </c>
      <c r="W4" s="2"/>
      <c r="X4" s="2">
        <v>-26</v>
      </c>
      <c r="Y4" s="2">
        <v>-4</v>
      </c>
      <c r="Z4" s="2">
        <v>-14</v>
      </c>
      <c r="AA4" s="2">
        <v>-10</v>
      </c>
      <c r="AB4" s="2"/>
      <c r="AC4" s="2">
        <v>-2</v>
      </c>
      <c r="AD4" s="2"/>
      <c r="AE4" s="1">
        <f t="shared" ref="AE4:AE22" si="0">SUM(D4:AD4)</f>
        <v>3</v>
      </c>
    </row>
    <row r="5" spans="1:31" x14ac:dyDescent="0.3">
      <c r="A5" s="2" t="s">
        <v>12</v>
      </c>
      <c r="B5" s="3" t="s">
        <v>13</v>
      </c>
      <c r="C5" s="4">
        <v>7.26</v>
      </c>
      <c r="D5" s="1">
        <v>1</v>
      </c>
      <c r="E5" s="2"/>
      <c r="F5" s="2"/>
      <c r="G5" s="2"/>
      <c r="H5" s="2"/>
      <c r="I5" s="2"/>
      <c r="J5" s="2"/>
      <c r="K5" s="2"/>
      <c r="L5" s="2"/>
      <c r="M5" s="2">
        <v>-1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1">
        <f t="shared" si="0"/>
        <v>0</v>
      </c>
    </row>
    <row r="6" spans="1:31" x14ac:dyDescent="0.3">
      <c r="A6" s="2" t="s">
        <v>12</v>
      </c>
      <c r="B6" s="3" t="s">
        <v>42</v>
      </c>
      <c r="C6" s="4">
        <v>1.27</v>
      </c>
      <c r="D6" s="1">
        <v>0</v>
      </c>
      <c r="E6" s="2"/>
      <c r="F6" s="2"/>
      <c r="G6" s="2"/>
      <c r="H6" s="2"/>
      <c r="I6" s="2"/>
      <c r="J6" s="2"/>
      <c r="K6" s="2"/>
      <c r="L6" s="2"/>
      <c r="M6" s="2"/>
      <c r="N6" s="2">
        <v>20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>
        <v>-1</v>
      </c>
      <c r="AD6" s="2"/>
      <c r="AE6" s="1">
        <f t="shared" si="0"/>
        <v>19</v>
      </c>
    </row>
    <row r="7" spans="1:31" ht="16.2" customHeight="1" x14ac:dyDescent="0.3">
      <c r="A7" s="2" t="s">
        <v>12</v>
      </c>
      <c r="B7" s="3" t="s">
        <v>16</v>
      </c>
      <c r="C7" s="4">
        <v>2.27</v>
      </c>
      <c r="D7" s="1">
        <v>17</v>
      </c>
      <c r="E7" s="2"/>
      <c r="F7" s="2"/>
      <c r="G7" s="2"/>
      <c r="H7" s="2">
        <v>-2</v>
      </c>
      <c r="I7" s="2">
        <v>-3</v>
      </c>
      <c r="J7" s="2"/>
      <c r="K7" s="2">
        <v>-2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>
        <v>-5</v>
      </c>
      <c r="X7" s="2"/>
      <c r="Y7" s="2"/>
      <c r="Z7" s="2"/>
      <c r="AA7" s="2"/>
      <c r="AB7" s="2"/>
      <c r="AC7" s="2"/>
      <c r="AD7" s="2"/>
      <c r="AE7" s="1">
        <f t="shared" si="0"/>
        <v>5</v>
      </c>
    </row>
    <row r="8" spans="1:31" ht="12.6" customHeight="1" x14ac:dyDescent="0.3">
      <c r="A8" s="2" t="s">
        <v>43</v>
      </c>
      <c r="B8" s="3" t="s">
        <v>44</v>
      </c>
      <c r="C8" s="4">
        <v>6.26</v>
      </c>
      <c r="D8" s="1">
        <v>0</v>
      </c>
      <c r="E8" s="2"/>
      <c r="F8" s="2"/>
      <c r="G8" s="2"/>
      <c r="H8" s="2"/>
      <c r="I8" s="2"/>
      <c r="J8" s="2"/>
      <c r="K8" s="2"/>
      <c r="L8" s="2">
        <v>50</v>
      </c>
      <c r="M8" s="2"/>
      <c r="N8" s="2"/>
      <c r="O8" s="2"/>
      <c r="P8" s="2"/>
      <c r="Q8" s="2"/>
      <c r="R8" s="2"/>
      <c r="S8" s="2"/>
      <c r="T8" s="2"/>
      <c r="U8" s="2"/>
      <c r="V8" s="2"/>
      <c r="W8" s="2">
        <v>-4</v>
      </c>
      <c r="X8" s="2">
        <v>-4</v>
      </c>
      <c r="Y8" s="2">
        <v>-4</v>
      </c>
      <c r="Z8" s="2">
        <v>-15</v>
      </c>
      <c r="AA8" s="2">
        <v>-12</v>
      </c>
      <c r="AB8" s="2"/>
      <c r="AC8" s="2">
        <v>-6</v>
      </c>
      <c r="AD8" s="2"/>
      <c r="AE8" s="1">
        <f t="shared" si="0"/>
        <v>5</v>
      </c>
    </row>
    <row r="9" spans="1:31" x14ac:dyDescent="0.3">
      <c r="A9" s="2" t="s">
        <v>17</v>
      </c>
      <c r="B9" s="3" t="s">
        <v>20</v>
      </c>
      <c r="C9" s="4">
        <v>5.26</v>
      </c>
      <c r="D9" s="1">
        <v>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>
        <v>30</v>
      </c>
      <c r="S9" s="2"/>
      <c r="T9" s="2">
        <v>-6</v>
      </c>
      <c r="U9" s="2"/>
      <c r="V9" s="2">
        <v>-24</v>
      </c>
      <c r="W9" s="2"/>
      <c r="X9" s="2"/>
      <c r="Y9" s="2"/>
      <c r="Z9" s="2"/>
      <c r="AA9" s="2"/>
      <c r="AB9" s="2"/>
      <c r="AC9" s="2"/>
      <c r="AD9" s="2"/>
      <c r="AE9" s="1">
        <f t="shared" si="0"/>
        <v>0</v>
      </c>
    </row>
    <row r="10" spans="1:31" x14ac:dyDescent="0.3">
      <c r="A10" s="2" t="s">
        <v>17</v>
      </c>
      <c r="B10" s="3" t="s">
        <v>18</v>
      </c>
      <c r="C10" s="4">
        <v>5.25</v>
      </c>
      <c r="D10" s="1">
        <v>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>
        <v>-3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1">
        <f t="shared" si="0"/>
        <v>0</v>
      </c>
    </row>
    <row r="11" spans="1:31" ht="16.2" customHeight="1" x14ac:dyDescent="0.3">
      <c r="A11" s="2" t="s">
        <v>17</v>
      </c>
      <c r="B11" s="3" t="s">
        <v>19</v>
      </c>
      <c r="C11" s="4">
        <v>5.26</v>
      </c>
      <c r="D11" s="1">
        <v>120</v>
      </c>
      <c r="E11" s="2">
        <v>-13</v>
      </c>
      <c r="F11" s="2">
        <v>-11</v>
      </c>
      <c r="G11" s="2"/>
      <c r="H11" s="2">
        <v>-4</v>
      </c>
      <c r="I11" s="2">
        <v>-15</v>
      </c>
      <c r="J11" s="2">
        <v>-2</v>
      </c>
      <c r="K11" s="2">
        <v>-22</v>
      </c>
      <c r="L11" s="2"/>
      <c r="M11" s="2">
        <v>-14</v>
      </c>
      <c r="N11" s="2"/>
      <c r="O11" s="2"/>
      <c r="P11" s="2"/>
      <c r="Q11" s="2">
        <v>-27</v>
      </c>
      <c r="R11" s="2">
        <v>20</v>
      </c>
      <c r="S11" s="2"/>
      <c r="T11" s="2"/>
      <c r="U11" s="2">
        <v>-12</v>
      </c>
      <c r="V11" s="2">
        <v>-2</v>
      </c>
      <c r="W11" s="2">
        <v>-18</v>
      </c>
      <c r="X11" s="2"/>
      <c r="Y11" s="2"/>
      <c r="Z11" s="2"/>
      <c r="AA11" s="2"/>
      <c r="AB11" s="2"/>
      <c r="AC11" s="2"/>
      <c r="AD11" s="2"/>
      <c r="AE11" s="1">
        <f t="shared" si="0"/>
        <v>0</v>
      </c>
    </row>
    <row r="12" spans="1:31" x14ac:dyDescent="0.3">
      <c r="A12" s="2" t="s">
        <v>24</v>
      </c>
      <c r="B12" s="8" t="s">
        <v>25</v>
      </c>
      <c r="C12" s="7" t="s">
        <v>26</v>
      </c>
      <c r="D12" s="1">
        <v>24</v>
      </c>
      <c r="E12" s="2"/>
      <c r="F12" s="2"/>
      <c r="G12" s="2"/>
      <c r="H12" s="2"/>
      <c r="I12" s="2"/>
      <c r="J12" s="2"/>
      <c r="K12" s="2">
        <v>-16</v>
      </c>
      <c r="L12" s="2"/>
      <c r="M12" s="2">
        <v>-8</v>
      </c>
      <c r="N12" s="2"/>
      <c r="O12" s="2"/>
      <c r="P12" s="2"/>
      <c r="Q12" s="2"/>
      <c r="R12" s="2">
        <v>1</v>
      </c>
      <c r="S12" s="2"/>
      <c r="T12" s="2"/>
      <c r="U12" s="2"/>
      <c r="V12" s="2"/>
      <c r="W12" s="2">
        <v>-1</v>
      </c>
      <c r="X12" s="2"/>
      <c r="Y12" s="2"/>
      <c r="Z12" s="2"/>
      <c r="AA12" s="2"/>
      <c r="AB12" s="2"/>
      <c r="AC12" s="2"/>
      <c r="AD12" s="2"/>
      <c r="AE12" s="1">
        <f t="shared" si="0"/>
        <v>0</v>
      </c>
    </row>
    <row r="13" spans="1:31" x14ac:dyDescent="0.3">
      <c r="A13" s="2" t="s">
        <v>24</v>
      </c>
      <c r="B13" s="8" t="s">
        <v>45</v>
      </c>
      <c r="C13" s="2">
        <v>1.26</v>
      </c>
      <c r="D13" s="1">
        <v>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>
        <v>80</v>
      </c>
      <c r="S13" s="2">
        <v>-6</v>
      </c>
      <c r="T13" s="2">
        <v>-8</v>
      </c>
      <c r="U13" s="2"/>
      <c r="V13" s="2">
        <v>-9</v>
      </c>
      <c r="W13" s="2"/>
      <c r="X13" s="2"/>
      <c r="Y13" s="2">
        <v>-1</v>
      </c>
      <c r="Z13" s="2">
        <v>-2</v>
      </c>
      <c r="AA13" s="2"/>
      <c r="AB13" s="2"/>
      <c r="AC13" s="2">
        <v>-14</v>
      </c>
      <c r="AD13" s="2"/>
      <c r="AE13" s="1">
        <f t="shared" si="0"/>
        <v>40</v>
      </c>
    </row>
    <row r="14" spans="1:31" x14ac:dyDescent="0.3">
      <c r="A14" s="2" t="s">
        <v>24</v>
      </c>
      <c r="B14" s="8" t="s">
        <v>46</v>
      </c>
      <c r="C14" s="2">
        <v>1.26</v>
      </c>
      <c r="D14" s="1">
        <v>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>
        <v>19</v>
      </c>
      <c r="S14" s="2"/>
      <c r="T14" s="2"/>
      <c r="U14" s="2">
        <v>-2</v>
      </c>
      <c r="V14" s="2"/>
      <c r="W14" s="2">
        <v>-8</v>
      </c>
      <c r="X14" s="2"/>
      <c r="Y14" s="2"/>
      <c r="Z14" s="2"/>
      <c r="AA14" s="2">
        <v>-7</v>
      </c>
      <c r="AB14" s="2"/>
      <c r="AC14" s="2"/>
      <c r="AD14" s="2"/>
      <c r="AE14" s="1">
        <f t="shared" si="0"/>
        <v>2</v>
      </c>
    </row>
    <row r="15" spans="1:31" x14ac:dyDescent="0.3">
      <c r="A15" s="2" t="s">
        <v>24</v>
      </c>
      <c r="B15" s="8" t="s">
        <v>28</v>
      </c>
      <c r="C15" s="2">
        <v>12.25</v>
      </c>
      <c r="D15" s="1">
        <v>43</v>
      </c>
      <c r="E15" s="2">
        <v>-7</v>
      </c>
      <c r="F15" s="2">
        <v>-6</v>
      </c>
      <c r="G15" s="2"/>
      <c r="H15" s="2">
        <v>-9</v>
      </c>
      <c r="I15" s="2">
        <v>-3</v>
      </c>
      <c r="J15" s="2">
        <v>-7</v>
      </c>
      <c r="K15" s="2"/>
      <c r="L15" s="2"/>
      <c r="M15" s="2">
        <v>-9</v>
      </c>
      <c r="N15" s="2"/>
      <c r="O15" s="2"/>
      <c r="P15" s="2"/>
      <c r="Q15" s="2">
        <v>-2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1">
        <f t="shared" si="0"/>
        <v>0</v>
      </c>
    </row>
    <row r="16" spans="1:31" x14ac:dyDescent="0.3">
      <c r="A16" s="2" t="s">
        <v>30</v>
      </c>
      <c r="B16" s="8" t="s">
        <v>47</v>
      </c>
      <c r="C16" s="2">
        <v>12.27</v>
      </c>
      <c r="D16" s="1"/>
      <c r="E16" s="2"/>
      <c r="F16" s="2"/>
      <c r="G16" s="2"/>
      <c r="H16" s="2"/>
      <c r="I16" s="2"/>
      <c r="J16" s="2"/>
      <c r="K16" s="2"/>
      <c r="L16" s="2">
        <v>10</v>
      </c>
      <c r="M16" s="2">
        <v>-5</v>
      </c>
      <c r="N16" s="2"/>
      <c r="O16" s="2"/>
      <c r="P16" s="2"/>
      <c r="Q16" s="2">
        <v>-5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1">
        <f t="shared" si="0"/>
        <v>0</v>
      </c>
    </row>
    <row r="17" spans="1:31" x14ac:dyDescent="0.3">
      <c r="A17" s="2" t="s">
        <v>30</v>
      </c>
      <c r="B17" s="8" t="s">
        <v>31</v>
      </c>
      <c r="C17" s="2">
        <v>8.27</v>
      </c>
      <c r="D17" s="1">
        <v>23</v>
      </c>
      <c r="E17" s="2">
        <v>-4</v>
      </c>
      <c r="F17" s="2">
        <v>-1</v>
      </c>
      <c r="G17" s="2"/>
      <c r="H17" s="2">
        <v>-14</v>
      </c>
      <c r="I17" s="2">
        <v>-10</v>
      </c>
      <c r="J17" s="2">
        <v>-2</v>
      </c>
      <c r="K17" s="2">
        <v>-1</v>
      </c>
      <c r="L17" s="2"/>
      <c r="M17" s="2"/>
      <c r="N17" s="2">
        <v>80</v>
      </c>
      <c r="O17" s="2">
        <v>-8</v>
      </c>
      <c r="P17" s="2"/>
      <c r="Q17" s="2">
        <v>-1</v>
      </c>
      <c r="R17" s="2"/>
      <c r="S17" s="2"/>
      <c r="T17" s="2">
        <v>-3</v>
      </c>
      <c r="U17" s="2">
        <v>-5</v>
      </c>
      <c r="V17" s="2"/>
      <c r="W17" s="2"/>
      <c r="X17" s="2">
        <v>-2</v>
      </c>
      <c r="Y17" s="2">
        <v>-1</v>
      </c>
      <c r="Z17" s="2">
        <v>-2</v>
      </c>
      <c r="AA17" s="2"/>
      <c r="AB17" s="2"/>
      <c r="AC17" s="2"/>
      <c r="AD17" s="2"/>
      <c r="AE17" s="1">
        <f t="shared" si="0"/>
        <v>49</v>
      </c>
    </row>
    <row r="18" spans="1:31" x14ac:dyDescent="0.3">
      <c r="A18" s="2" t="s">
        <v>33</v>
      </c>
      <c r="B18" s="8" t="s">
        <v>34</v>
      </c>
      <c r="C18" s="2">
        <v>10.26</v>
      </c>
      <c r="D18" s="1">
        <v>2</v>
      </c>
      <c r="E18" s="2">
        <v>-1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>
        <v>-1</v>
      </c>
      <c r="X18" s="2"/>
      <c r="Y18" s="2"/>
      <c r="Z18" s="2"/>
      <c r="AA18" s="2"/>
      <c r="AB18" s="2"/>
      <c r="AC18" s="2"/>
      <c r="AD18" s="2"/>
      <c r="AE18" s="1">
        <f t="shared" si="0"/>
        <v>0</v>
      </c>
    </row>
    <row r="19" spans="1:31" x14ac:dyDescent="0.3">
      <c r="A19" s="2" t="s">
        <v>33</v>
      </c>
      <c r="B19" s="8" t="s">
        <v>36</v>
      </c>
      <c r="C19" s="2">
        <v>10.26</v>
      </c>
      <c r="D19" s="1">
        <v>0</v>
      </c>
      <c r="E19" s="2"/>
      <c r="F19" s="2"/>
      <c r="G19" s="2">
        <v>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1">
        <f t="shared" si="0"/>
        <v>1</v>
      </c>
    </row>
    <row r="20" spans="1:31" x14ac:dyDescent="0.3">
      <c r="A20" s="2" t="s">
        <v>33</v>
      </c>
      <c r="B20" s="8" t="s">
        <v>35</v>
      </c>
      <c r="C20" s="2">
        <v>9.26</v>
      </c>
      <c r="D20" s="1">
        <v>1</v>
      </c>
      <c r="E20" s="2"/>
      <c r="F20" s="2"/>
      <c r="G20" s="2">
        <v>9</v>
      </c>
      <c r="H20" s="2"/>
      <c r="I20" s="2">
        <v>-3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>
        <v>-1</v>
      </c>
      <c r="W20" s="2"/>
      <c r="X20" s="2">
        <v>-4</v>
      </c>
      <c r="Y20" s="2"/>
      <c r="Z20" s="2"/>
      <c r="AA20" s="2"/>
      <c r="AB20" s="2"/>
      <c r="AC20" s="2"/>
      <c r="AD20" s="2"/>
      <c r="AE20" s="1">
        <f t="shared" si="0"/>
        <v>2</v>
      </c>
    </row>
    <row r="21" spans="1:31" x14ac:dyDescent="0.3">
      <c r="A21" s="2" t="s">
        <v>37</v>
      </c>
      <c r="B21" s="6" t="s">
        <v>38</v>
      </c>
      <c r="C21" s="2">
        <v>8.26</v>
      </c>
      <c r="D21" s="1">
        <v>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1">
        <f t="shared" si="0"/>
        <v>5</v>
      </c>
    </row>
    <row r="22" spans="1:31" x14ac:dyDescent="0.3">
      <c r="A22" s="1" t="s">
        <v>39</v>
      </c>
      <c r="B22" s="1"/>
      <c r="C22" s="1"/>
      <c r="D22" s="1">
        <v>318</v>
      </c>
      <c r="E22" s="1">
        <f>SUM(E4:E21)</f>
        <v>-40</v>
      </c>
      <c r="F22" s="1">
        <f t="shared" ref="F22:AA22" si="1">SUM(F4:F21)</f>
        <v>-30</v>
      </c>
      <c r="G22" s="1">
        <f t="shared" si="1"/>
        <v>10</v>
      </c>
      <c r="H22" s="1">
        <f t="shared" si="1"/>
        <v>-29</v>
      </c>
      <c r="I22" s="1">
        <f t="shared" si="1"/>
        <v>-40</v>
      </c>
      <c r="J22" s="1">
        <f t="shared" si="1"/>
        <v>-27</v>
      </c>
      <c r="K22" s="1">
        <f t="shared" si="1"/>
        <v>-54</v>
      </c>
      <c r="L22" s="1">
        <f t="shared" si="1"/>
        <v>60</v>
      </c>
      <c r="M22" s="1">
        <f t="shared" si="1"/>
        <v>-41</v>
      </c>
      <c r="N22" s="1">
        <f t="shared" si="1"/>
        <v>150</v>
      </c>
      <c r="O22" s="1">
        <f t="shared" si="1"/>
        <v>-18</v>
      </c>
      <c r="P22" s="1">
        <f t="shared" si="1"/>
        <v>50</v>
      </c>
      <c r="Q22" s="1">
        <f t="shared" si="1"/>
        <v>-35</v>
      </c>
      <c r="R22" s="1">
        <f t="shared" si="1"/>
        <v>150</v>
      </c>
      <c r="S22" s="1">
        <f t="shared" si="1"/>
        <v>-28</v>
      </c>
      <c r="T22" s="1">
        <f t="shared" si="1"/>
        <v>-30</v>
      </c>
      <c r="U22" s="1">
        <f t="shared" si="1"/>
        <v>-29</v>
      </c>
      <c r="V22" s="1">
        <f t="shared" si="1"/>
        <v>-38</v>
      </c>
      <c r="W22" s="1">
        <f t="shared" si="1"/>
        <v>-37</v>
      </c>
      <c r="X22" s="1">
        <f t="shared" si="1"/>
        <v>-36</v>
      </c>
      <c r="Y22" s="1">
        <f t="shared" si="1"/>
        <v>-10</v>
      </c>
      <c r="Z22" s="1">
        <f t="shared" si="1"/>
        <v>-33</v>
      </c>
      <c r="AA22" s="1">
        <f t="shared" si="1"/>
        <v>-29</v>
      </c>
      <c r="AB22" s="1">
        <f>SUM(AB3:AB21)</f>
        <v>100</v>
      </c>
      <c r="AC22" s="1">
        <f t="shared" ref="AC22:AD22" si="2">SUM(AC3:AC21)</f>
        <v>-31</v>
      </c>
      <c r="AD22" s="1">
        <f t="shared" si="2"/>
        <v>0</v>
      </c>
      <c r="AE22" s="1">
        <f t="shared" si="0"/>
        <v>223</v>
      </c>
    </row>
  </sheetData>
  <mergeCells count="1">
    <mergeCell ref="A1:C1"/>
  </mergeCells>
  <pageMargins left="0.7" right="0.7" top="0.75" bottom="0.75" header="0.3" footer="0.3"/>
  <pageSetup scale="4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-0.249977111117893"/>
  </sheetPr>
  <dimension ref="A1:AF22"/>
  <sheetViews>
    <sheetView zoomScale="86" workbookViewId="0">
      <selection activeCell="A15" sqref="A15:XFD15"/>
    </sheetView>
  </sheetViews>
  <sheetFormatPr defaultRowHeight="14.4" x14ac:dyDescent="0.3"/>
  <cols>
    <col min="1" max="1" width="18.6640625" customWidth="1"/>
    <col min="2" max="2" width="9.44140625" bestFit="1" customWidth="1"/>
    <col min="10" max="31" width="8.88671875" customWidth="1"/>
  </cols>
  <sheetData>
    <row r="1" spans="1:32" x14ac:dyDescent="0.3">
      <c r="A1" s="43" t="s">
        <v>48</v>
      </c>
      <c r="B1" s="43"/>
      <c r="C1" s="43"/>
      <c r="D1" s="1"/>
      <c r="E1" s="9">
        <v>37681</v>
      </c>
      <c r="F1" s="9">
        <v>38047</v>
      </c>
      <c r="G1" s="9">
        <v>38047</v>
      </c>
      <c r="H1" s="9">
        <v>38412</v>
      </c>
      <c r="I1" s="9">
        <v>38777</v>
      </c>
      <c r="J1" s="9">
        <v>38777</v>
      </c>
      <c r="K1" s="9">
        <v>39142</v>
      </c>
      <c r="L1" s="9">
        <v>39142</v>
      </c>
      <c r="M1" s="9">
        <v>40238</v>
      </c>
      <c r="N1" s="9">
        <v>40603</v>
      </c>
      <c r="O1" s="9">
        <v>40969</v>
      </c>
      <c r="P1" s="9">
        <v>41334</v>
      </c>
      <c r="Q1" s="9">
        <v>41699</v>
      </c>
      <c r="R1" s="9">
        <v>41699</v>
      </c>
      <c r="S1" s="9">
        <v>42795</v>
      </c>
      <c r="T1" s="9">
        <v>43160</v>
      </c>
      <c r="U1" s="9">
        <v>43891</v>
      </c>
      <c r="V1" s="9">
        <v>43891</v>
      </c>
      <c r="W1" s="9">
        <v>44256</v>
      </c>
      <c r="X1" s="9">
        <v>44256</v>
      </c>
      <c r="Y1" s="9">
        <v>45352</v>
      </c>
      <c r="Z1" s="9">
        <v>45717</v>
      </c>
      <c r="AA1" s="9">
        <v>46082</v>
      </c>
      <c r="AB1" s="9">
        <v>46447</v>
      </c>
      <c r="AC1" s="9">
        <v>46447</v>
      </c>
      <c r="AD1" s="9">
        <v>46813</v>
      </c>
      <c r="AE1" s="9"/>
      <c r="AF1" s="1"/>
    </row>
    <row r="2" spans="1:32" x14ac:dyDescent="0.3">
      <c r="A2" s="1" t="s">
        <v>1</v>
      </c>
      <c r="B2" s="1" t="s">
        <v>2</v>
      </c>
      <c r="C2" s="1" t="s">
        <v>3</v>
      </c>
      <c r="D2" s="1"/>
      <c r="E2" s="1"/>
      <c r="F2" s="1" t="s">
        <v>4</v>
      </c>
      <c r="G2" s="1"/>
      <c r="H2" s="1"/>
      <c r="I2" s="1"/>
      <c r="J2" s="1" t="s">
        <v>49</v>
      </c>
      <c r="K2" s="1"/>
      <c r="L2" s="1" t="s">
        <v>5</v>
      </c>
      <c r="M2" s="1"/>
      <c r="N2" s="1"/>
      <c r="O2" s="1"/>
      <c r="P2" s="1"/>
      <c r="Q2" s="1"/>
      <c r="R2" s="1" t="s">
        <v>4</v>
      </c>
      <c r="S2" s="1"/>
      <c r="T2" s="1"/>
      <c r="U2" s="1"/>
      <c r="V2" s="1" t="s">
        <v>50</v>
      </c>
      <c r="W2" s="1"/>
      <c r="X2" s="1" t="s">
        <v>5</v>
      </c>
      <c r="Y2" s="1"/>
      <c r="Z2" s="1"/>
      <c r="AA2" s="1"/>
      <c r="AB2" s="1"/>
      <c r="AC2" s="1" t="s">
        <v>5</v>
      </c>
      <c r="AD2" s="1"/>
      <c r="AE2" s="1"/>
      <c r="AF2" s="1"/>
    </row>
    <row r="3" spans="1:32" x14ac:dyDescent="0.3">
      <c r="A3" s="2" t="s">
        <v>6</v>
      </c>
      <c r="B3" s="3" t="s">
        <v>41</v>
      </c>
      <c r="C3" s="4">
        <v>2.27</v>
      </c>
      <c r="D3" s="1">
        <v>92</v>
      </c>
      <c r="E3" s="2"/>
      <c r="F3" s="2"/>
      <c r="G3" s="2">
        <v>-7</v>
      </c>
      <c r="H3" s="2">
        <v>-5</v>
      </c>
      <c r="I3" s="2"/>
      <c r="J3" s="2"/>
      <c r="K3" s="2">
        <v>-5</v>
      </c>
      <c r="L3" s="2"/>
      <c r="M3" s="2"/>
      <c r="N3" s="2">
        <v>-3</v>
      </c>
      <c r="O3" s="2">
        <v>-10</v>
      </c>
      <c r="P3" s="2">
        <v>-2</v>
      </c>
      <c r="Q3" s="2"/>
      <c r="R3" s="2"/>
      <c r="S3" s="2">
        <v>-13</v>
      </c>
      <c r="T3" s="2">
        <v>-13</v>
      </c>
      <c r="U3" s="2">
        <v>-2</v>
      </c>
      <c r="V3" s="2"/>
      <c r="W3" s="2">
        <v>-16</v>
      </c>
      <c r="X3" s="2"/>
      <c r="Y3" s="2">
        <v>-5</v>
      </c>
      <c r="Z3" s="2"/>
      <c r="AA3" s="2"/>
      <c r="AB3" s="2"/>
      <c r="AC3" s="2">
        <v>30</v>
      </c>
      <c r="AD3" s="2">
        <v>-8</v>
      </c>
      <c r="AE3" s="2"/>
      <c r="AF3" s="1">
        <f>SUM(D3:AE3)</f>
        <v>33</v>
      </c>
    </row>
    <row r="4" spans="1:32" x14ac:dyDescent="0.3">
      <c r="A4" s="2" t="s">
        <v>17</v>
      </c>
      <c r="B4" s="3" t="s">
        <v>20</v>
      </c>
      <c r="C4" s="4">
        <v>5.26</v>
      </c>
      <c r="D4" s="1">
        <v>0</v>
      </c>
      <c r="E4" s="2"/>
      <c r="F4" s="2">
        <v>16</v>
      </c>
      <c r="G4" s="2">
        <v>-5</v>
      </c>
      <c r="H4" s="2">
        <v>-5</v>
      </c>
      <c r="I4" s="2"/>
      <c r="J4" s="2"/>
      <c r="K4" s="2"/>
      <c r="L4" s="2"/>
      <c r="M4" s="2">
        <v>-5</v>
      </c>
      <c r="N4" s="2"/>
      <c r="O4" s="2"/>
      <c r="P4" s="2">
        <v>-1</v>
      </c>
      <c r="Q4" s="2"/>
      <c r="R4" s="2"/>
      <c r="S4" s="2"/>
      <c r="T4" s="2"/>
      <c r="U4" s="2"/>
      <c r="V4" s="2"/>
      <c r="W4" s="2"/>
      <c r="X4" s="2">
        <v>1</v>
      </c>
      <c r="Y4" s="2"/>
      <c r="Z4" s="2"/>
      <c r="AA4" s="2"/>
      <c r="AB4" s="2"/>
      <c r="AC4" s="2"/>
      <c r="AD4" s="2"/>
      <c r="AE4" s="2"/>
      <c r="AF4" s="1">
        <f t="shared" ref="AF4:AF22" si="0">SUM(D4:AE4)</f>
        <v>1</v>
      </c>
    </row>
    <row r="5" spans="1:32" x14ac:dyDescent="0.3">
      <c r="A5" s="2" t="s">
        <v>17</v>
      </c>
      <c r="B5" s="3" t="s">
        <v>19</v>
      </c>
      <c r="C5" s="4">
        <v>5.26</v>
      </c>
      <c r="D5" s="1">
        <v>0</v>
      </c>
      <c r="E5" s="2"/>
      <c r="F5" s="2">
        <v>84</v>
      </c>
      <c r="G5" s="2">
        <v>-19</v>
      </c>
      <c r="H5" s="2">
        <v>-18</v>
      </c>
      <c r="I5" s="2">
        <v>-8</v>
      </c>
      <c r="J5" s="2"/>
      <c r="K5" s="2">
        <v>-34</v>
      </c>
      <c r="L5" s="2"/>
      <c r="M5" s="2">
        <v>-5</v>
      </c>
      <c r="N5" s="2"/>
      <c r="O5" s="2"/>
      <c r="P5" s="2"/>
      <c r="Q5" s="2"/>
      <c r="R5" s="2">
        <v>50</v>
      </c>
      <c r="S5" s="2"/>
      <c r="T5" s="2"/>
      <c r="U5" s="2"/>
      <c r="V5" s="2"/>
      <c r="W5" s="2"/>
      <c r="X5" s="2">
        <v>80</v>
      </c>
      <c r="Y5" s="2"/>
      <c r="Z5" s="2"/>
      <c r="AA5" s="2"/>
      <c r="AB5" s="2"/>
      <c r="AC5" s="2"/>
      <c r="AD5" s="2">
        <v>-6</v>
      </c>
      <c r="AE5" s="2"/>
      <c r="AF5" s="1">
        <f t="shared" si="0"/>
        <v>124</v>
      </c>
    </row>
    <row r="6" spans="1:32" x14ac:dyDescent="0.3">
      <c r="A6" s="2" t="s">
        <v>17</v>
      </c>
      <c r="B6" s="3" t="s">
        <v>51</v>
      </c>
      <c r="C6" s="4">
        <v>7.26</v>
      </c>
      <c r="D6" s="1">
        <v>0</v>
      </c>
      <c r="E6" s="2"/>
      <c r="F6" s="2"/>
      <c r="G6" s="2"/>
      <c r="H6" s="2"/>
      <c r="I6" s="2"/>
      <c r="J6" s="2"/>
      <c r="K6" s="2"/>
      <c r="L6" s="2">
        <v>100</v>
      </c>
      <c r="M6" s="2">
        <v>-9</v>
      </c>
      <c r="N6" s="2">
        <v>-7</v>
      </c>
      <c r="O6" s="2">
        <v>-5</v>
      </c>
      <c r="P6" s="2"/>
      <c r="Q6" s="2"/>
      <c r="R6" s="2"/>
      <c r="S6" s="2">
        <v>-3</v>
      </c>
      <c r="T6" s="2">
        <v>-5</v>
      </c>
      <c r="U6" s="2">
        <v>-9</v>
      </c>
      <c r="V6" s="2"/>
      <c r="W6" s="2">
        <v>-19</v>
      </c>
      <c r="X6" s="2">
        <v>19</v>
      </c>
      <c r="Y6" s="2">
        <v>-7</v>
      </c>
      <c r="Z6" s="2">
        <v>-6</v>
      </c>
      <c r="AA6" s="2">
        <v>-26</v>
      </c>
      <c r="AB6" s="2"/>
      <c r="AC6" s="2"/>
      <c r="AD6" s="2"/>
      <c r="AE6" s="2"/>
      <c r="AF6" s="1">
        <f t="shared" si="0"/>
        <v>23</v>
      </c>
    </row>
    <row r="7" spans="1:32" ht="15" customHeight="1" x14ac:dyDescent="0.3">
      <c r="A7" s="2" t="s">
        <v>6</v>
      </c>
      <c r="B7" s="3" t="s">
        <v>9</v>
      </c>
      <c r="C7" s="4">
        <v>1.27</v>
      </c>
      <c r="D7" s="1">
        <v>3</v>
      </c>
      <c r="E7" s="2"/>
      <c r="F7" s="2"/>
      <c r="G7" s="2"/>
      <c r="H7" s="2"/>
      <c r="I7" s="2"/>
      <c r="J7" s="2"/>
      <c r="K7" s="2"/>
      <c r="L7" s="2"/>
      <c r="M7" s="2">
        <v>-1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1">
        <f t="shared" si="0"/>
        <v>2</v>
      </c>
    </row>
    <row r="8" spans="1:32" x14ac:dyDescent="0.3">
      <c r="A8" s="2" t="s">
        <v>12</v>
      </c>
      <c r="B8" s="3" t="s">
        <v>42</v>
      </c>
      <c r="C8" s="4">
        <v>1.27</v>
      </c>
      <c r="D8" s="1">
        <v>19</v>
      </c>
      <c r="E8" s="2">
        <v>-3</v>
      </c>
      <c r="F8" s="2"/>
      <c r="G8" s="2"/>
      <c r="H8" s="2"/>
      <c r="I8" s="2"/>
      <c r="J8" s="2"/>
      <c r="K8" s="2"/>
      <c r="L8" s="2"/>
      <c r="M8" s="2"/>
      <c r="N8" s="2"/>
      <c r="O8" s="2">
        <v>-4</v>
      </c>
      <c r="P8" s="2">
        <v>-2</v>
      </c>
      <c r="Q8" s="2"/>
      <c r="R8" s="2"/>
      <c r="S8" s="2"/>
      <c r="T8" s="2"/>
      <c r="U8" s="2"/>
      <c r="V8" s="2"/>
      <c r="W8" s="2">
        <v>-11</v>
      </c>
      <c r="X8" s="2"/>
      <c r="Y8" s="2">
        <v>-3</v>
      </c>
      <c r="Z8" s="2"/>
      <c r="AA8" s="2"/>
      <c r="AB8" s="2"/>
      <c r="AC8" s="2"/>
      <c r="AD8" s="2">
        <v>-5</v>
      </c>
      <c r="AE8" s="2"/>
      <c r="AF8" s="1">
        <f t="shared" si="0"/>
        <v>-9</v>
      </c>
    </row>
    <row r="9" spans="1:32" x14ac:dyDescent="0.3">
      <c r="A9" s="2" t="s">
        <v>12</v>
      </c>
      <c r="B9" s="3" t="s">
        <v>16</v>
      </c>
      <c r="C9" s="4">
        <v>2.27</v>
      </c>
      <c r="D9" s="1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>
        <v>-5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1">
        <f t="shared" si="0"/>
        <v>0</v>
      </c>
    </row>
    <row r="10" spans="1:32" x14ac:dyDescent="0.3">
      <c r="A10" s="2" t="s">
        <v>43</v>
      </c>
      <c r="B10" s="3" t="s">
        <v>44</v>
      </c>
      <c r="C10" s="4">
        <v>6.26</v>
      </c>
      <c r="D10" s="1">
        <v>5</v>
      </c>
      <c r="E10" s="2">
        <v>-5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1">
        <f t="shared" si="0"/>
        <v>0</v>
      </c>
    </row>
    <row r="11" spans="1:32" x14ac:dyDescent="0.3">
      <c r="A11" s="2" t="s">
        <v>24</v>
      </c>
      <c r="B11" s="8" t="s">
        <v>52</v>
      </c>
      <c r="C11" s="2">
        <v>7.26</v>
      </c>
      <c r="D11" s="1">
        <v>0</v>
      </c>
      <c r="E11" s="2"/>
      <c r="F11" s="2">
        <v>100</v>
      </c>
      <c r="G11" s="2">
        <v>-3</v>
      </c>
      <c r="H11" s="2">
        <v>-9</v>
      </c>
      <c r="I11" s="2"/>
      <c r="J11" s="2"/>
      <c r="K11" s="2"/>
      <c r="L11" s="2">
        <v>90</v>
      </c>
      <c r="M11" s="2"/>
      <c r="N11" s="2">
        <v>-10</v>
      </c>
      <c r="O11" s="2"/>
      <c r="P11" s="2">
        <v>-10</v>
      </c>
      <c r="Q11" s="2"/>
      <c r="R11" s="2"/>
      <c r="S11" s="2"/>
      <c r="T11" s="2"/>
      <c r="U11" s="2">
        <v>-9</v>
      </c>
      <c r="V11" s="2"/>
      <c r="W11" s="2">
        <v>-13</v>
      </c>
      <c r="X11" s="2"/>
      <c r="Y11" s="2">
        <v>-5</v>
      </c>
      <c r="Z11" s="2">
        <v>-1</v>
      </c>
      <c r="AA11" s="2">
        <v>-8</v>
      </c>
      <c r="AB11" s="2"/>
      <c r="AC11" s="2"/>
      <c r="AD11" s="2">
        <v>-27</v>
      </c>
      <c r="AE11" s="2"/>
      <c r="AF11" s="1">
        <f t="shared" si="0"/>
        <v>95</v>
      </c>
    </row>
    <row r="12" spans="1:32" x14ac:dyDescent="0.3">
      <c r="A12" s="2" t="s">
        <v>24</v>
      </c>
      <c r="B12" s="8" t="s">
        <v>45</v>
      </c>
      <c r="C12" s="2">
        <v>1.26</v>
      </c>
      <c r="D12" s="1">
        <v>40</v>
      </c>
      <c r="E12" s="2"/>
      <c r="F12" s="2"/>
      <c r="G12" s="2"/>
      <c r="H12" s="2"/>
      <c r="I12" s="2"/>
      <c r="J12" s="2"/>
      <c r="K12" s="2">
        <v>-10</v>
      </c>
      <c r="L12" s="2"/>
      <c r="M12" s="2">
        <v>-19</v>
      </c>
      <c r="N12" s="2"/>
      <c r="O12" s="2"/>
      <c r="P12" s="2"/>
      <c r="Q12" s="2"/>
      <c r="R12" s="2"/>
      <c r="S12" s="2">
        <v>-6</v>
      </c>
      <c r="T12" s="2">
        <v>-5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1">
        <f t="shared" si="0"/>
        <v>0</v>
      </c>
    </row>
    <row r="13" spans="1:32" x14ac:dyDescent="0.3">
      <c r="A13" s="2" t="s">
        <v>24</v>
      </c>
      <c r="B13" s="8" t="s">
        <v>46</v>
      </c>
      <c r="C13" s="2">
        <v>1.26</v>
      </c>
      <c r="D13" s="1">
        <v>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>
        <v>-2</v>
      </c>
      <c r="Z13" s="2"/>
      <c r="AA13" s="2"/>
      <c r="AB13" s="2"/>
      <c r="AC13" s="2"/>
      <c r="AD13" s="2"/>
      <c r="AE13" s="2"/>
      <c r="AF13" s="1">
        <f t="shared" si="0"/>
        <v>0</v>
      </c>
    </row>
    <row r="14" spans="1:32" x14ac:dyDescent="0.3">
      <c r="A14" s="2" t="s">
        <v>24</v>
      </c>
      <c r="B14" s="8" t="s">
        <v>25</v>
      </c>
      <c r="C14" s="2">
        <v>1.26</v>
      </c>
      <c r="D14" s="1">
        <v>0</v>
      </c>
      <c r="E14" s="2"/>
      <c r="F14" s="2"/>
      <c r="G14" s="2"/>
      <c r="H14" s="2"/>
      <c r="I14" s="2"/>
      <c r="J14" s="2"/>
      <c r="K14" s="2"/>
      <c r="L14" s="2">
        <v>10</v>
      </c>
      <c r="M14" s="2"/>
      <c r="N14" s="2"/>
      <c r="O14" s="2">
        <v>-10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1">
        <f t="shared" si="0"/>
        <v>0</v>
      </c>
    </row>
    <row r="15" spans="1:32" x14ac:dyDescent="0.3">
      <c r="A15" s="2" t="s">
        <v>30</v>
      </c>
      <c r="B15" s="8" t="s">
        <v>31</v>
      </c>
      <c r="C15" s="2">
        <v>8.27</v>
      </c>
      <c r="D15" s="1">
        <v>49</v>
      </c>
      <c r="E15" s="2"/>
      <c r="F15" s="2"/>
      <c r="G15" s="2">
        <v>-3</v>
      </c>
      <c r="H15" s="2">
        <v>-3</v>
      </c>
      <c r="I15" s="2"/>
      <c r="J15" s="2"/>
      <c r="K15" s="2">
        <v>-10</v>
      </c>
      <c r="L15" s="2"/>
      <c r="M15" s="2">
        <v>-3</v>
      </c>
      <c r="N15" s="2">
        <v>-9</v>
      </c>
      <c r="O15" s="2">
        <v>-7</v>
      </c>
      <c r="P15" s="2"/>
      <c r="Q15" s="2">
        <v>-7</v>
      </c>
      <c r="R15" s="2"/>
      <c r="S15" s="2"/>
      <c r="T15" s="2"/>
      <c r="U15" s="2">
        <v>-5</v>
      </c>
      <c r="V15" s="2"/>
      <c r="W15" s="2">
        <v>-6</v>
      </c>
      <c r="X15" s="2"/>
      <c r="Y15" s="2">
        <v>-4</v>
      </c>
      <c r="Z15" s="2">
        <v>-3</v>
      </c>
      <c r="AA15" s="2">
        <v>-3</v>
      </c>
      <c r="AB15" s="2">
        <v>-3</v>
      </c>
      <c r="AC15" s="2">
        <v>50</v>
      </c>
      <c r="AD15" s="2"/>
      <c r="AE15" s="2"/>
      <c r="AF15" s="1">
        <f t="shared" si="0"/>
        <v>33</v>
      </c>
    </row>
    <row r="16" spans="1:32" x14ac:dyDescent="0.3">
      <c r="A16" s="2" t="s">
        <v>53</v>
      </c>
      <c r="B16" s="8" t="s">
        <v>54</v>
      </c>
      <c r="C16" s="2">
        <v>7.26</v>
      </c>
      <c r="D16" s="1">
        <v>0</v>
      </c>
      <c r="E16" s="2"/>
      <c r="F16" s="2"/>
      <c r="G16" s="2"/>
      <c r="H16" s="2"/>
      <c r="I16" s="2"/>
      <c r="J16" s="2">
        <v>10</v>
      </c>
      <c r="K16" s="2">
        <v>-2</v>
      </c>
      <c r="L16" s="2"/>
      <c r="M16" s="2">
        <v>-1</v>
      </c>
      <c r="N16" s="2">
        <v>-3</v>
      </c>
      <c r="O16" s="2"/>
      <c r="P16" s="2"/>
      <c r="Q16" s="2">
        <v>-1</v>
      </c>
      <c r="R16" s="2"/>
      <c r="S16" s="2">
        <v>-1</v>
      </c>
      <c r="T16" s="2"/>
      <c r="U16" s="2"/>
      <c r="V16" s="2">
        <v>10</v>
      </c>
      <c r="W16" s="2">
        <v>-1</v>
      </c>
      <c r="X16" s="2"/>
      <c r="Y16" s="2"/>
      <c r="Z16" s="2">
        <v>-1</v>
      </c>
      <c r="AA16" s="2"/>
      <c r="AB16" s="2"/>
      <c r="AC16" s="2"/>
      <c r="AD16" s="2">
        <v>-3</v>
      </c>
      <c r="AE16" s="2"/>
      <c r="AF16" s="1">
        <f t="shared" si="0"/>
        <v>7</v>
      </c>
    </row>
    <row r="17" spans="1:32" x14ac:dyDescent="0.3">
      <c r="A17" s="2" t="s">
        <v>55</v>
      </c>
      <c r="B17" s="8" t="s">
        <v>56</v>
      </c>
      <c r="C17" s="2">
        <v>4.2699999999999996</v>
      </c>
      <c r="D17" s="1">
        <v>0</v>
      </c>
      <c r="E17" s="2"/>
      <c r="F17" s="2"/>
      <c r="G17" s="2"/>
      <c r="H17" s="2"/>
      <c r="I17" s="2"/>
      <c r="J17" s="2">
        <v>10</v>
      </c>
      <c r="K17" s="2"/>
      <c r="L17" s="2"/>
      <c r="M17" s="2"/>
      <c r="N17" s="2"/>
      <c r="O17" s="2"/>
      <c r="P17" s="2"/>
      <c r="Q17" s="2">
        <v>-1</v>
      </c>
      <c r="R17" s="2"/>
      <c r="S17" s="2"/>
      <c r="T17" s="2"/>
      <c r="U17" s="2"/>
      <c r="V17" s="2">
        <v>10</v>
      </c>
      <c r="W17" s="2">
        <v>-1</v>
      </c>
      <c r="X17" s="2"/>
      <c r="Y17" s="2"/>
      <c r="Z17" s="2"/>
      <c r="AA17" s="2"/>
      <c r="AB17" s="2"/>
      <c r="AC17" s="2"/>
      <c r="AD17" s="2"/>
      <c r="AE17" s="2"/>
      <c r="AF17" s="1">
        <f t="shared" si="0"/>
        <v>18</v>
      </c>
    </row>
    <row r="18" spans="1:32" x14ac:dyDescent="0.3">
      <c r="A18" s="2" t="s">
        <v>57</v>
      </c>
      <c r="B18" s="8" t="s">
        <v>58</v>
      </c>
      <c r="C18" s="2">
        <v>5.27</v>
      </c>
      <c r="D18" s="1">
        <v>0</v>
      </c>
      <c r="E18" s="2"/>
      <c r="F18" s="2"/>
      <c r="G18" s="2"/>
      <c r="H18" s="2"/>
      <c r="I18" s="2"/>
      <c r="J18" s="2">
        <v>10</v>
      </c>
      <c r="K18" s="2"/>
      <c r="L18" s="2"/>
      <c r="M18" s="2">
        <v>-1</v>
      </c>
      <c r="N18" s="2"/>
      <c r="O18" s="2"/>
      <c r="P18" s="2"/>
      <c r="Q18" s="2"/>
      <c r="R18" s="2"/>
      <c r="S18" s="2"/>
      <c r="T18" s="2"/>
      <c r="U18" s="2"/>
      <c r="V18" s="2">
        <v>10</v>
      </c>
      <c r="W18" s="2"/>
      <c r="X18" s="2"/>
      <c r="Y18" s="2"/>
      <c r="Z18" s="2"/>
      <c r="AA18" s="2"/>
      <c r="AB18" s="2"/>
      <c r="AC18" s="2"/>
      <c r="AD18" s="2"/>
      <c r="AE18" s="2"/>
      <c r="AF18" s="1">
        <f t="shared" si="0"/>
        <v>19</v>
      </c>
    </row>
    <row r="19" spans="1:32" x14ac:dyDescent="0.3">
      <c r="A19" s="2" t="s">
        <v>33</v>
      </c>
      <c r="B19" s="8" t="s">
        <v>36</v>
      </c>
      <c r="C19" s="2">
        <v>10.26</v>
      </c>
      <c r="D19" s="1">
        <v>1</v>
      </c>
      <c r="E19" s="2"/>
      <c r="F19" s="2"/>
      <c r="G19" s="2"/>
      <c r="H19" s="2">
        <v>-1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1">
        <f t="shared" si="0"/>
        <v>0</v>
      </c>
    </row>
    <row r="20" spans="1:32" x14ac:dyDescent="0.3">
      <c r="A20" s="2" t="s">
        <v>33</v>
      </c>
      <c r="B20" s="8" t="s">
        <v>35</v>
      </c>
      <c r="C20" s="2">
        <v>9.26</v>
      </c>
      <c r="D20" s="1">
        <v>2</v>
      </c>
      <c r="E20" s="2"/>
      <c r="F20" s="2"/>
      <c r="G20" s="2"/>
      <c r="H20" s="2"/>
      <c r="I20" s="2"/>
      <c r="J20" s="2"/>
      <c r="K20" s="2">
        <v>-2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1">
        <f t="shared" si="0"/>
        <v>0</v>
      </c>
    </row>
    <row r="21" spans="1:32" x14ac:dyDescent="0.3">
      <c r="A21" s="2" t="s">
        <v>37</v>
      </c>
      <c r="B21" s="6" t="s">
        <v>38</v>
      </c>
      <c r="C21" s="2">
        <v>8.26</v>
      </c>
      <c r="D21" s="1">
        <v>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1">
        <f t="shared" si="0"/>
        <v>5</v>
      </c>
    </row>
    <row r="22" spans="1:32" x14ac:dyDescent="0.3">
      <c r="A22" s="1" t="s">
        <v>39</v>
      </c>
      <c r="B22" s="1"/>
      <c r="C22" s="1"/>
      <c r="D22" s="1">
        <v>223</v>
      </c>
      <c r="E22" s="1">
        <f>SUM(E3:E21)</f>
        <v>-8</v>
      </c>
      <c r="F22" s="1">
        <f>SUM(F3:F21)</f>
        <v>200</v>
      </c>
      <c r="G22" s="1">
        <f>SUM(G3:G21)</f>
        <v>-37</v>
      </c>
      <c r="H22" s="1">
        <f t="shared" ref="H22:AE22" si="1">SUM(H3:H21)</f>
        <v>-41</v>
      </c>
      <c r="I22" s="1">
        <f t="shared" si="1"/>
        <v>-8</v>
      </c>
      <c r="J22" s="1">
        <f t="shared" si="1"/>
        <v>30</v>
      </c>
      <c r="K22" s="1">
        <f t="shared" si="1"/>
        <v>-63</v>
      </c>
      <c r="L22" s="1">
        <f t="shared" si="1"/>
        <v>200</v>
      </c>
      <c r="M22" s="1">
        <f t="shared" si="1"/>
        <v>-44</v>
      </c>
      <c r="N22" s="1">
        <f t="shared" si="1"/>
        <v>-32</v>
      </c>
      <c r="O22" s="1">
        <f t="shared" si="1"/>
        <v>-36</v>
      </c>
      <c r="P22" s="1">
        <f t="shared" si="1"/>
        <v>-15</v>
      </c>
      <c r="Q22" s="1">
        <f t="shared" si="1"/>
        <v>-9</v>
      </c>
      <c r="R22" s="1">
        <f t="shared" si="1"/>
        <v>50</v>
      </c>
      <c r="S22" s="1">
        <f t="shared" si="1"/>
        <v>-28</v>
      </c>
      <c r="T22" s="1">
        <f t="shared" si="1"/>
        <v>-23</v>
      </c>
      <c r="U22" s="1">
        <f t="shared" si="1"/>
        <v>-25</v>
      </c>
      <c r="V22" s="1">
        <f t="shared" si="1"/>
        <v>30</v>
      </c>
      <c r="W22" s="1">
        <f t="shared" si="1"/>
        <v>-67</v>
      </c>
      <c r="X22" s="1">
        <f t="shared" si="1"/>
        <v>100</v>
      </c>
      <c r="Y22" s="1">
        <f t="shared" si="1"/>
        <v>-26</v>
      </c>
      <c r="Z22" s="1">
        <f t="shared" si="1"/>
        <v>-11</v>
      </c>
      <c r="AA22" s="1">
        <f t="shared" si="1"/>
        <v>-37</v>
      </c>
      <c r="AB22" s="1">
        <f t="shared" si="1"/>
        <v>-3</v>
      </c>
      <c r="AC22" s="1">
        <f t="shared" si="1"/>
        <v>80</v>
      </c>
      <c r="AD22" s="1">
        <f t="shared" si="1"/>
        <v>-49</v>
      </c>
      <c r="AE22" s="1">
        <f t="shared" si="1"/>
        <v>0</v>
      </c>
      <c r="AF22" s="1">
        <f t="shared" si="0"/>
        <v>351</v>
      </c>
    </row>
  </sheetData>
  <mergeCells count="1">
    <mergeCell ref="A1:C1"/>
  </mergeCells>
  <phoneticPr fontId="2" type="noConversion"/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1"/>
  <sheetViews>
    <sheetView workbookViewId="0">
      <selection activeCell="Q2" sqref="Q2"/>
    </sheetView>
  </sheetViews>
  <sheetFormatPr defaultRowHeight="14.4" x14ac:dyDescent="0.3"/>
  <cols>
    <col min="1" max="1" width="16.44140625" customWidth="1"/>
    <col min="4" max="4" width="11.33203125" customWidth="1"/>
    <col min="6" max="6" width="10.88671875" customWidth="1"/>
    <col min="8" max="36" width="8.88671875" customWidth="1"/>
  </cols>
  <sheetData>
    <row r="1" spans="1:37" x14ac:dyDescent="0.3">
      <c r="A1" s="43" t="s">
        <v>59</v>
      </c>
      <c r="B1" s="43"/>
      <c r="C1" s="43"/>
      <c r="D1" s="1"/>
      <c r="E1" s="9">
        <v>36982</v>
      </c>
      <c r="F1" s="9">
        <v>36982</v>
      </c>
      <c r="G1" s="9">
        <v>37347</v>
      </c>
      <c r="H1" s="9">
        <v>37712</v>
      </c>
      <c r="I1" s="9">
        <v>38078</v>
      </c>
      <c r="J1" s="9">
        <v>39173</v>
      </c>
      <c r="K1" s="9">
        <v>39173</v>
      </c>
      <c r="L1" s="9">
        <v>39539</v>
      </c>
      <c r="M1" s="9">
        <v>39904</v>
      </c>
      <c r="N1" s="9">
        <v>40269</v>
      </c>
      <c r="O1" s="9">
        <v>40634</v>
      </c>
      <c r="P1" s="9">
        <v>40634</v>
      </c>
      <c r="Q1" s="9">
        <v>40634</v>
      </c>
      <c r="R1" s="9">
        <v>41730</v>
      </c>
      <c r="S1" s="9">
        <v>42095</v>
      </c>
      <c r="T1" s="9">
        <v>42461</v>
      </c>
      <c r="U1" s="9">
        <v>42826</v>
      </c>
      <c r="V1" s="9">
        <v>42826</v>
      </c>
      <c r="W1" s="9">
        <v>42826</v>
      </c>
      <c r="X1" s="9">
        <v>44287</v>
      </c>
      <c r="Y1" s="9">
        <v>44287</v>
      </c>
      <c r="Z1" s="9">
        <v>44652</v>
      </c>
      <c r="AA1" s="9">
        <v>45017</v>
      </c>
      <c r="AB1" s="9">
        <v>45017</v>
      </c>
      <c r="AC1" s="9">
        <v>45383</v>
      </c>
      <c r="AD1" s="9">
        <v>45748</v>
      </c>
      <c r="AE1" s="9">
        <v>46844</v>
      </c>
      <c r="AF1" s="9">
        <v>46844</v>
      </c>
      <c r="AG1" s="9">
        <v>47209</v>
      </c>
      <c r="AH1" s="9">
        <v>11049</v>
      </c>
      <c r="AI1" s="9">
        <v>11049</v>
      </c>
      <c r="AJ1" s="9">
        <v>37377</v>
      </c>
      <c r="AK1" s="1"/>
    </row>
    <row r="2" spans="1:37" x14ac:dyDescent="0.3">
      <c r="A2" s="1" t="s">
        <v>1</v>
      </c>
      <c r="B2" s="1" t="s">
        <v>2</v>
      </c>
      <c r="C2" s="1" t="s">
        <v>3</v>
      </c>
      <c r="D2" s="1"/>
      <c r="E2" s="1"/>
      <c r="F2" s="10" t="s">
        <v>60</v>
      </c>
      <c r="G2" s="1"/>
      <c r="H2" s="1"/>
      <c r="I2" s="1"/>
      <c r="J2" s="1"/>
      <c r="K2" s="1" t="s">
        <v>5</v>
      </c>
      <c r="L2" s="1"/>
      <c r="M2" s="1"/>
      <c r="N2" s="1"/>
      <c r="O2" s="1" t="s">
        <v>5</v>
      </c>
      <c r="P2" s="1"/>
      <c r="Q2" s="10" t="s">
        <v>61</v>
      </c>
      <c r="R2" s="1"/>
      <c r="S2" s="1"/>
      <c r="T2" s="1"/>
      <c r="U2" s="1" t="s">
        <v>5</v>
      </c>
      <c r="V2" s="1"/>
      <c r="W2" s="1" t="s">
        <v>5</v>
      </c>
      <c r="X2" s="1"/>
      <c r="Y2" s="1" t="s">
        <v>5</v>
      </c>
      <c r="Z2" s="1"/>
      <c r="AA2" s="1" t="s">
        <v>5</v>
      </c>
      <c r="AB2" s="1"/>
      <c r="AC2" s="1"/>
      <c r="AD2" s="1"/>
      <c r="AE2" s="1" t="s">
        <v>5</v>
      </c>
      <c r="AF2" s="1"/>
      <c r="AG2" s="1"/>
      <c r="AH2" s="1"/>
      <c r="AI2" s="1" t="s">
        <v>5</v>
      </c>
      <c r="AJ2" s="1" t="s">
        <v>5</v>
      </c>
      <c r="AK2" s="1"/>
    </row>
    <row r="3" spans="1:37" ht="15" customHeight="1" x14ac:dyDescent="0.3">
      <c r="A3" s="2" t="s">
        <v>6</v>
      </c>
      <c r="B3" s="3" t="s">
        <v>41</v>
      </c>
      <c r="C3" s="4">
        <v>2.27</v>
      </c>
      <c r="D3" s="1">
        <v>33</v>
      </c>
      <c r="E3" s="2">
        <v>-11</v>
      </c>
      <c r="F3" s="2"/>
      <c r="G3" s="2">
        <v>-10</v>
      </c>
      <c r="H3" s="2"/>
      <c r="I3" s="2"/>
      <c r="J3" s="2">
        <v>-10</v>
      </c>
      <c r="K3" s="2"/>
      <c r="L3" s="2"/>
      <c r="M3" s="2">
        <v>-2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1">
        <f>SUM(D3:AJ3)</f>
        <v>0</v>
      </c>
    </row>
    <row r="4" spans="1:37" ht="15" customHeight="1" x14ac:dyDescent="0.3">
      <c r="A4" s="2" t="s">
        <v>6</v>
      </c>
      <c r="B4" s="3" t="s">
        <v>62</v>
      </c>
      <c r="C4" s="4">
        <v>1.27</v>
      </c>
      <c r="D4" s="1">
        <v>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>
        <v>50</v>
      </c>
      <c r="AJ4" s="2"/>
      <c r="AK4" s="1">
        <f t="shared" ref="AK4:AK31" si="0">SUM(D4:AJ4)</f>
        <v>50</v>
      </c>
    </row>
    <row r="5" spans="1:37" ht="15" customHeight="1" x14ac:dyDescent="0.3">
      <c r="A5" s="2" t="s">
        <v>17</v>
      </c>
      <c r="B5" s="3" t="s">
        <v>20</v>
      </c>
      <c r="C5" s="4">
        <v>5.26</v>
      </c>
      <c r="D5" s="1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>
        <v>-1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1">
        <f t="shared" si="0"/>
        <v>0</v>
      </c>
    </row>
    <row r="6" spans="1:37" ht="13.95" customHeight="1" x14ac:dyDescent="0.3">
      <c r="A6" s="2" t="s">
        <v>63</v>
      </c>
      <c r="B6" s="3" t="s">
        <v>19</v>
      </c>
      <c r="C6" s="4">
        <v>5.26</v>
      </c>
      <c r="D6" s="1">
        <v>124</v>
      </c>
      <c r="E6" s="2">
        <v>-29</v>
      </c>
      <c r="F6" s="2"/>
      <c r="G6" s="2">
        <v>-20</v>
      </c>
      <c r="H6" s="2">
        <v>-19</v>
      </c>
      <c r="I6" s="2"/>
      <c r="J6" s="2">
        <v>-17</v>
      </c>
      <c r="K6" s="2"/>
      <c r="L6" s="2">
        <v>-11</v>
      </c>
      <c r="M6" s="2">
        <v>-5</v>
      </c>
      <c r="N6" s="2">
        <v>-4</v>
      </c>
      <c r="O6" s="2"/>
      <c r="P6" s="2">
        <v>-15</v>
      </c>
      <c r="Q6" s="2"/>
      <c r="R6" s="2">
        <v>-4</v>
      </c>
      <c r="S6" s="2"/>
      <c r="T6" s="2"/>
      <c r="U6" s="2"/>
      <c r="V6" s="2"/>
      <c r="W6" s="2">
        <v>10</v>
      </c>
      <c r="X6" s="2"/>
      <c r="Y6" s="2"/>
      <c r="Z6" s="2"/>
      <c r="AA6" s="2"/>
      <c r="AB6" s="2"/>
      <c r="AC6" s="2"/>
      <c r="AD6" s="2"/>
      <c r="AE6" s="2"/>
      <c r="AF6" s="2">
        <v>-10</v>
      </c>
      <c r="AG6" s="2"/>
      <c r="AH6" s="2"/>
      <c r="AI6" s="2"/>
      <c r="AJ6" s="2"/>
      <c r="AK6" s="1">
        <f t="shared" si="0"/>
        <v>0</v>
      </c>
    </row>
    <row r="7" spans="1:37" x14ac:dyDescent="0.3">
      <c r="A7" s="10" t="s">
        <v>64</v>
      </c>
      <c r="B7" s="12"/>
      <c r="C7" s="10">
        <v>5.26</v>
      </c>
      <c r="D7" s="10">
        <v>0</v>
      </c>
      <c r="E7" s="10"/>
      <c r="F7" s="10">
        <v>5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>
        <v>3</v>
      </c>
      <c r="R7" s="10"/>
      <c r="S7" s="10"/>
      <c r="T7" s="10"/>
      <c r="U7" s="10"/>
      <c r="V7" s="10"/>
      <c r="W7" s="10"/>
      <c r="X7" s="10"/>
      <c r="Y7" s="10"/>
      <c r="Z7" s="10">
        <v>-2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">
        <f t="shared" si="0"/>
        <v>6</v>
      </c>
    </row>
    <row r="8" spans="1:37" x14ac:dyDescent="0.3">
      <c r="A8" s="2" t="s">
        <v>17</v>
      </c>
      <c r="B8" s="3" t="s">
        <v>51</v>
      </c>
      <c r="C8" s="4">
        <v>7.26</v>
      </c>
      <c r="D8" s="1">
        <v>23</v>
      </c>
      <c r="E8" s="2"/>
      <c r="F8" s="2"/>
      <c r="G8" s="2"/>
      <c r="H8" s="2"/>
      <c r="I8" s="2">
        <v>-10</v>
      </c>
      <c r="J8" s="2">
        <v>-2</v>
      </c>
      <c r="K8" s="2"/>
      <c r="L8" s="2"/>
      <c r="M8" s="2">
        <v>-8</v>
      </c>
      <c r="N8" s="2"/>
      <c r="O8" s="2">
        <v>100</v>
      </c>
      <c r="P8" s="2"/>
      <c r="Q8" s="2"/>
      <c r="R8" s="2">
        <v>-6</v>
      </c>
      <c r="S8" s="2">
        <v>-17</v>
      </c>
      <c r="T8" s="2"/>
      <c r="U8" s="2"/>
      <c r="V8" s="2">
        <v>-8</v>
      </c>
      <c r="W8" s="2">
        <v>40</v>
      </c>
      <c r="X8" s="2">
        <v>-3</v>
      </c>
      <c r="Y8" s="2"/>
      <c r="Z8" s="2">
        <v>-10</v>
      </c>
      <c r="AA8" s="2"/>
      <c r="AB8" s="2">
        <v>-13</v>
      </c>
      <c r="AC8" s="2">
        <v>-4</v>
      </c>
      <c r="AD8" s="2">
        <v>-7</v>
      </c>
      <c r="AE8" s="2">
        <v>50</v>
      </c>
      <c r="AF8" s="2"/>
      <c r="AG8" s="2">
        <v>-11</v>
      </c>
      <c r="AH8" s="2">
        <v>-6</v>
      </c>
      <c r="AI8" s="2"/>
      <c r="AJ8" s="2"/>
      <c r="AK8" s="1">
        <f t="shared" si="0"/>
        <v>108</v>
      </c>
    </row>
    <row r="9" spans="1:37" x14ac:dyDescent="0.3">
      <c r="A9" s="2" t="s">
        <v>6</v>
      </c>
      <c r="B9" s="3" t="s">
        <v>9</v>
      </c>
      <c r="C9" s="4">
        <v>1.27</v>
      </c>
      <c r="D9" s="1">
        <v>2</v>
      </c>
      <c r="E9" s="2"/>
      <c r="F9" s="2"/>
      <c r="G9" s="2"/>
      <c r="H9" s="2"/>
      <c r="I9" s="2"/>
      <c r="J9" s="2"/>
      <c r="K9" s="2"/>
      <c r="L9" s="2"/>
      <c r="M9" s="2">
        <v>-2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1">
        <f t="shared" si="0"/>
        <v>0</v>
      </c>
    </row>
    <row r="10" spans="1:37" x14ac:dyDescent="0.3">
      <c r="A10" s="10" t="s">
        <v>6</v>
      </c>
      <c r="B10" s="12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>
        <v>2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">
        <f t="shared" si="0"/>
        <v>2</v>
      </c>
    </row>
    <row r="11" spans="1:37" x14ac:dyDescent="0.3">
      <c r="A11" s="2" t="s">
        <v>6</v>
      </c>
      <c r="B11" s="7" t="s">
        <v>65</v>
      </c>
      <c r="C11" s="6" t="s">
        <v>66</v>
      </c>
      <c r="D11" s="1">
        <v>0</v>
      </c>
      <c r="E11" s="2"/>
      <c r="F11" s="2"/>
      <c r="G11" s="2"/>
      <c r="H11" s="2"/>
      <c r="I11" s="2"/>
      <c r="J11" s="2"/>
      <c r="K11" s="2">
        <v>90</v>
      </c>
      <c r="L11" s="2">
        <v>-28</v>
      </c>
      <c r="M11" s="2">
        <v>-8</v>
      </c>
      <c r="N11" s="2">
        <v>-1</v>
      </c>
      <c r="O11" s="2"/>
      <c r="P11" s="2">
        <v>-8</v>
      </c>
      <c r="Q11" s="2"/>
      <c r="R11" s="2"/>
      <c r="S11" s="2"/>
      <c r="T11" s="2"/>
      <c r="U11" s="2">
        <v>50</v>
      </c>
      <c r="V11" s="2">
        <v>-9</v>
      </c>
      <c r="W11" s="2"/>
      <c r="X11" s="2">
        <v>-11</v>
      </c>
      <c r="Y11" s="2"/>
      <c r="Z11" s="2"/>
      <c r="AA11" s="2"/>
      <c r="AB11" s="2"/>
      <c r="AC11" s="2">
        <v>-2</v>
      </c>
      <c r="AD11" s="2">
        <v>-12</v>
      </c>
      <c r="AE11" s="2"/>
      <c r="AF11" s="2"/>
      <c r="AG11" s="2">
        <v>-6</v>
      </c>
      <c r="AH11" s="2">
        <v>-6</v>
      </c>
      <c r="AI11" s="2"/>
      <c r="AJ11" s="2"/>
      <c r="AK11" s="1">
        <f t="shared" si="0"/>
        <v>49</v>
      </c>
    </row>
    <row r="12" spans="1:37" x14ac:dyDescent="0.3">
      <c r="A12" s="2" t="s">
        <v>12</v>
      </c>
      <c r="B12" s="3" t="s">
        <v>42</v>
      </c>
      <c r="C12" s="4">
        <v>1.27</v>
      </c>
      <c r="D12" s="1">
        <v>-9</v>
      </c>
      <c r="E12" s="2">
        <v>-5</v>
      </c>
      <c r="F12" s="2"/>
      <c r="G12" s="2">
        <v>-2</v>
      </c>
      <c r="H12" s="2"/>
      <c r="I12" s="2"/>
      <c r="J12" s="2"/>
      <c r="K12" s="2">
        <v>16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1">
        <f t="shared" si="0"/>
        <v>0</v>
      </c>
    </row>
    <row r="13" spans="1:37" x14ac:dyDescent="0.3">
      <c r="A13" s="2" t="s">
        <v>12</v>
      </c>
      <c r="B13" s="3" t="s">
        <v>16</v>
      </c>
      <c r="C13" s="4">
        <v>2.27</v>
      </c>
      <c r="D13" s="1">
        <v>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1">
        <f t="shared" si="0"/>
        <v>0</v>
      </c>
    </row>
    <row r="14" spans="1:37" x14ac:dyDescent="0.3">
      <c r="A14" s="2" t="s">
        <v>12</v>
      </c>
      <c r="B14" s="7" t="s">
        <v>67</v>
      </c>
      <c r="C14" s="6">
        <v>6.26</v>
      </c>
      <c r="D14" s="1">
        <v>0</v>
      </c>
      <c r="E14" s="2"/>
      <c r="F14" s="2"/>
      <c r="G14" s="2"/>
      <c r="H14" s="2"/>
      <c r="I14" s="2"/>
      <c r="J14" s="2"/>
      <c r="K14" s="2">
        <v>14</v>
      </c>
      <c r="L14" s="2">
        <v>-4</v>
      </c>
      <c r="M14" s="2">
        <v>-3</v>
      </c>
      <c r="N14" s="2"/>
      <c r="O14" s="2"/>
      <c r="P14" s="2"/>
      <c r="Q14" s="2"/>
      <c r="R14" s="2"/>
      <c r="S14" s="2"/>
      <c r="T14" s="2"/>
      <c r="U14" s="2">
        <v>20</v>
      </c>
      <c r="V14" s="2"/>
      <c r="W14" s="2"/>
      <c r="X14" s="2">
        <v>-5</v>
      </c>
      <c r="Y14" s="2"/>
      <c r="Z14" s="2"/>
      <c r="AA14" s="2"/>
      <c r="AB14" s="2"/>
      <c r="AC14" s="2">
        <v>-2</v>
      </c>
      <c r="AD14" s="2">
        <v>-5</v>
      </c>
      <c r="AE14" s="2"/>
      <c r="AF14" s="2">
        <v>-1</v>
      </c>
      <c r="AG14" s="2"/>
      <c r="AH14" s="2">
        <v>-2</v>
      </c>
      <c r="AI14" s="2"/>
      <c r="AJ14" s="2"/>
      <c r="AK14" s="1">
        <f t="shared" si="0"/>
        <v>12</v>
      </c>
    </row>
    <row r="15" spans="1:37" x14ac:dyDescent="0.3">
      <c r="A15" s="2" t="s">
        <v>43</v>
      </c>
      <c r="B15" s="3" t="s">
        <v>44</v>
      </c>
      <c r="C15" s="4">
        <v>6.26</v>
      </c>
      <c r="D15" s="1">
        <v>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1">
        <f t="shared" si="0"/>
        <v>0</v>
      </c>
    </row>
    <row r="16" spans="1:37" x14ac:dyDescent="0.3">
      <c r="A16" s="2" t="s">
        <v>24</v>
      </c>
      <c r="B16" s="8" t="s">
        <v>52</v>
      </c>
      <c r="C16" s="2">
        <v>7.26</v>
      </c>
      <c r="D16" s="1">
        <v>95</v>
      </c>
      <c r="E16" s="2">
        <v>-10</v>
      </c>
      <c r="F16" s="2"/>
      <c r="G16" s="2">
        <v>-4</v>
      </c>
      <c r="H16" s="2">
        <v>-3</v>
      </c>
      <c r="I16" s="2">
        <v>-4</v>
      </c>
      <c r="J16" s="2">
        <v>-12</v>
      </c>
      <c r="K16" s="2"/>
      <c r="L16" s="2"/>
      <c r="M16" s="2">
        <v>-23</v>
      </c>
      <c r="N16" s="2">
        <v>-2</v>
      </c>
      <c r="O16" s="2"/>
      <c r="P16" s="2">
        <v>-15</v>
      </c>
      <c r="Q16" s="2"/>
      <c r="R16" s="2">
        <v>-1</v>
      </c>
      <c r="S16" s="2">
        <v>-8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1">
        <f t="shared" si="0"/>
        <v>13</v>
      </c>
    </row>
    <row r="17" spans="1:37" x14ac:dyDescent="0.3">
      <c r="A17" s="10" t="s">
        <v>68</v>
      </c>
      <c r="B17" s="11" t="s">
        <v>52</v>
      </c>
      <c r="C17" s="10">
        <v>7.26</v>
      </c>
      <c r="D17" s="10">
        <v>0</v>
      </c>
      <c r="E17" s="10"/>
      <c r="F17" s="10">
        <v>6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>
        <v>2</v>
      </c>
      <c r="R17" s="10"/>
      <c r="S17" s="10"/>
      <c r="T17" s="10"/>
      <c r="U17" s="10"/>
      <c r="V17" s="10"/>
      <c r="W17" s="10"/>
      <c r="X17" s="10"/>
      <c r="Y17" s="10"/>
      <c r="Z17" s="10">
        <v>-6</v>
      </c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">
        <f t="shared" si="0"/>
        <v>2</v>
      </c>
    </row>
    <row r="18" spans="1:37" x14ac:dyDescent="0.3">
      <c r="A18" s="2" t="s">
        <v>24</v>
      </c>
      <c r="B18" s="8" t="s">
        <v>45</v>
      </c>
      <c r="C18" s="2">
        <v>1.26</v>
      </c>
      <c r="D18" s="1">
        <v>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1">
        <f t="shared" si="0"/>
        <v>0</v>
      </c>
    </row>
    <row r="19" spans="1:37" x14ac:dyDescent="0.3">
      <c r="A19" s="2" t="s">
        <v>24</v>
      </c>
      <c r="B19" s="8" t="s">
        <v>46</v>
      </c>
      <c r="C19" s="2">
        <v>1.26</v>
      </c>
      <c r="D19" s="1">
        <v>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1">
        <f t="shared" si="0"/>
        <v>0</v>
      </c>
    </row>
    <row r="20" spans="1:37" x14ac:dyDescent="0.3">
      <c r="A20" s="2" t="s">
        <v>24</v>
      </c>
      <c r="B20" s="8" t="s">
        <v>69</v>
      </c>
      <c r="C20" s="2">
        <v>10.26</v>
      </c>
      <c r="D20" s="1">
        <v>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>
        <v>50</v>
      </c>
      <c r="P20" s="2"/>
      <c r="Q20" s="2"/>
      <c r="R20" s="2"/>
      <c r="S20" s="2"/>
      <c r="T20" s="2"/>
      <c r="U20" s="2"/>
      <c r="V20" s="2"/>
      <c r="W20" s="2">
        <v>50</v>
      </c>
      <c r="X20" s="2"/>
      <c r="Y20" s="2"/>
      <c r="Z20" s="2">
        <v>-3</v>
      </c>
      <c r="AA20" s="2"/>
      <c r="AB20" s="2">
        <v>-19</v>
      </c>
      <c r="AC20" s="2"/>
      <c r="AD20" s="2">
        <v>-4</v>
      </c>
      <c r="AE20" s="2"/>
      <c r="AF20" s="2">
        <v>-8</v>
      </c>
      <c r="AG20" s="2">
        <v>-10</v>
      </c>
      <c r="AH20" s="2">
        <v>-6</v>
      </c>
      <c r="AI20" s="2">
        <v>50</v>
      </c>
      <c r="AJ20" s="2"/>
      <c r="AK20" s="1">
        <f t="shared" si="0"/>
        <v>100</v>
      </c>
    </row>
    <row r="21" spans="1:37" x14ac:dyDescent="0.3">
      <c r="A21" s="2" t="s">
        <v>24</v>
      </c>
      <c r="B21" s="8" t="s">
        <v>25</v>
      </c>
      <c r="C21" s="2">
        <v>1.26</v>
      </c>
      <c r="D21" s="1">
        <v>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1">
        <f t="shared" si="0"/>
        <v>0</v>
      </c>
    </row>
    <row r="22" spans="1:37" x14ac:dyDescent="0.3">
      <c r="A22" s="2" t="s">
        <v>70</v>
      </c>
      <c r="B22" s="8" t="s">
        <v>71</v>
      </c>
      <c r="C22" s="2">
        <v>7.26</v>
      </c>
      <c r="D22" s="1">
        <v>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>
        <v>2</v>
      </c>
      <c r="AB22" s="2"/>
      <c r="AC22" s="2"/>
      <c r="AD22" s="2">
        <v>-2</v>
      </c>
      <c r="AE22" s="2"/>
      <c r="AF22" s="2"/>
      <c r="AG22" s="2"/>
      <c r="AH22" s="2"/>
      <c r="AI22" s="2"/>
      <c r="AJ22" s="2"/>
      <c r="AK22" s="1">
        <f t="shared" si="0"/>
        <v>0</v>
      </c>
    </row>
    <row r="23" spans="1:37" x14ac:dyDescent="0.3">
      <c r="A23" s="2" t="s">
        <v>30</v>
      </c>
      <c r="B23" s="8" t="s">
        <v>72</v>
      </c>
      <c r="C23" s="6" t="s">
        <v>73</v>
      </c>
      <c r="D23" s="1">
        <v>0</v>
      </c>
      <c r="E23" s="2"/>
      <c r="F23" s="2"/>
      <c r="G23" s="2"/>
      <c r="H23" s="2"/>
      <c r="I23" s="2"/>
      <c r="J23" s="2"/>
      <c r="K23" s="2">
        <v>30</v>
      </c>
      <c r="L23" s="2">
        <v>-2</v>
      </c>
      <c r="M23" s="2">
        <v>-3</v>
      </c>
      <c r="N23" s="2">
        <v>-2</v>
      </c>
      <c r="O23" s="2"/>
      <c r="P23" s="2"/>
      <c r="Q23" s="2"/>
      <c r="R23" s="2"/>
      <c r="S23" s="2">
        <v>-6</v>
      </c>
      <c r="T23" s="2">
        <v>-9</v>
      </c>
      <c r="U23" s="2"/>
      <c r="V23" s="2"/>
      <c r="W23" s="2"/>
      <c r="X23" s="2">
        <v>-5</v>
      </c>
      <c r="Y23" s="2"/>
      <c r="Z23" s="2">
        <v>-3</v>
      </c>
      <c r="AA23" s="2"/>
      <c r="AB23" s="2"/>
      <c r="AD23" s="2"/>
      <c r="AE23" s="2"/>
      <c r="AF23" s="2"/>
      <c r="AG23" s="2"/>
      <c r="AH23" s="2"/>
      <c r="AI23" s="2"/>
      <c r="AJ23" s="2"/>
      <c r="AK23" s="1">
        <f t="shared" si="0"/>
        <v>0</v>
      </c>
    </row>
    <row r="24" spans="1:37" x14ac:dyDescent="0.3">
      <c r="A24" s="2" t="s">
        <v>30</v>
      </c>
      <c r="B24" s="8" t="s">
        <v>31</v>
      </c>
      <c r="C24" s="2">
        <v>8.27</v>
      </c>
      <c r="D24" s="1">
        <v>33</v>
      </c>
      <c r="E24" s="2">
        <v>-3</v>
      </c>
      <c r="F24" s="2"/>
      <c r="G24" s="2"/>
      <c r="H24" s="2"/>
      <c r="I24" s="2">
        <v>-3</v>
      </c>
      <c r="J24" s="2">
        <v>-1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>
        <v>-3</v>
      </c>
      <c r="AD24" s="2">
        <v>-5</v>
      </c>
      <c r="AE24" s="2"/>
      <c r="AF24" s="2"/>
      <c r="AG24" s="2"/>
      <c r="AH24" s="2">
        <v>-5</v>
      </c>
      <c r="AI24" s="2"/>
      <c r="AJ24" s="2"/>
      <c r="AK24" s="1">
        <f t="shared" si="0"/>
        <v>13</v>
      </c>
    </row>
    <row r="25" spans="1:37" x14ac:dyDescent="0.3">
      <c r="A25" s="2" t="s">
        <v>53</v>
      </c>
      <c r="B25" s="8" t="s">
        <v>54</v>
      </c>
      <c r="C25" s="2">
        <v>7.26</v>
      </c>
      <c r="D25" s="1">
        <v>7</v>
      </c>
      <c r="E25" s="2">
        <v>-3</v>
      </c>
      <c r="F25" s="2"/>
      <c r="G25" s="2"/>
      <c r="H25" s="2"/>
      <c r="I25" s="2"/>
      <c r="J25" s="2">
        <v>-2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>
        <v>-1</v>
      </c>
      <c r="W25" s="2"/>
      <c r="X25" s="2"/>
      <c r="Y25" s="2"/>
      <c r="Z25" s="2"/>
      <c r="AA25" s="2"/>
      <c r="AB25" s="2">
        <v>-1</v>
      </c>
      <c r="AC25" s="2"/>
      <c r="AD25" s="2"/>
      <c r="AE25" s="2"/>
      <c r="AF25" s="2"/>
      <c r="AG25" s="2"/>
      <c r="AH25" s="2"/>
      <c r="AI25" s="2"/>
      <c r="AJ25" s="2"/>
      <c r="AK25" s="1">
        <f t="shared" si="0"/>
        <v>0</v>
      </c>
    </row>
    <row r="26" spans="1:37" x14ac:dyDescent="0.3">
      <c r="A26" s="2" t="s">
        <v>55</v>
      </c>
      <c r="B26" s="8" t="s">
        <v>56</v>
      </c>
      <c r="C26" s="2">
        <v>4.2699999999999996</v>
      </c>
      <c r="D26" s="1">
        <v>18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>
        <v>-1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1">
        <f t="shared" si="0"/>
        <v>17</v>
      </c>
    </row>
    <row r="27" spans="1:37" x14ac:dyDescent="0.3">
      <c r="A27" s="2" t="s">
        <v>57</v>
      </c>
      <c r="B27" s="8" t="s">
        <v>58</v>
      </c>
      <c r="C27" s="2">
        <v>5.27</v>
      </c>
      <c r="D27" s="1">
        <v>19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>
        <v>-1</v>
      </c>
      <c r="T27" s="2"/>
      <c r="U27" s="2"/>
      <c r="V27" s="2"/>
      <c r="W27" s="2"/>
      <c r="X27" s="2"/>
      <c r="Y27" s="2"/>
      <c r="Z27" s="2"/>
      <c r="AA27" s="2"/>
      <c r="AB27" s="2"/>
      <c r="AC27" s="2">
        <v>-1</v>
      </c>
      <c r="AD27" s="2"/>
      <c r="AE27" s="2"/>
      <c r="AF27" s="2"/>
      <c r="AG27" s="2"/>
      <c r="AH27" s="2"/>
      <c r="AI27" s="2"/>
      <c r="AJ27" s="2"/>
      <c r="AK27" s="1">
        <f t="shared" si="0"/>
        <v>17</v>
      </c>
    </row>
    <row r="28" spans="1:37" x14ac:dyDescent="0.3">
      <c r="A28" s="2" t="s">
        <v>33</v>
      </c>
      <c r="B28" s="8" t="s">
        <v>74</v>
      </c>
      <c r="C28" s="2">
        <v>2.27</v>
      </c>
      <c r="D28" s="1">
        <v>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>
        <v>17</v>
      </c>
      <c r="Z28" s="2">
        <v>-3</v>
      </c>
      <c r="AA28" s="2"/>
      <c r="AB28" s="2"/>
      <c r="AC28" s="2">
        <v>-1</v>
      </c>
      <c r="AD28" s="2"/>
      <c r="AE28" s="2"/>
      <c r="AF28" s="2">
        <v>-3</v>
      </c>
      <c r="AG28" s="2">
        <v>-2</v>
      </c>
      <c r="AH28" s="2"/>
      <c r="AI28" s="2"/>
      <c r="AJ28" s="2"/>
      <c r="AK28" s="1">
        <f t="shared" si="0"/>
        <v>8</v>
      </c>
    </row>
    <row r="29" spans="1:37" x14ac:dyDescent="0.3">
      <c r="A29" s="2" t="s">
        <v>33</v>
      </c>
      <c r="B29" s="8" t="s">
        <v>35</v>
      </c>
      <c r="C29" s="2">
        <v>9.26</v>
      </c>
      <c r="D29" s="1">
        <v>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>
        <v>5</v>
      </c>
      <c r="AK29" s="1">
        <f t="shared" si="0"/>
        <v>5</v>
      </c>
    </row>
    <row r="30" spans="1:37" x14ac:dyDescent="0.3">
      <c r="A30" s="2" t="s">
        <v>37</v>
      </c>
      <c r="B30" s="6" t="s">
        <v>38</v>
      </c>
      <c r="C30" s="2">
        <v>8.26</v>
      </c>
      <c r="D30" s="1">
        <v>5</v>
      </c>
      <c r="E30" s="2">
        <v>-2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1">
        <f t="shared" si="0"/>
        <v>3</v>
      </c>
    </row>
    <row r="31" spans="1:37" x14ac:dyDescent="0.3">
      <c r="A31" s="1" t="s">
        <v>39</v>
      </c>
      <c r="B31" s="1"/>
      <c r="C31" s="1"/>
      <c r="D31" s="1">
        <v>351</v>
      </c>
      <c r="E31" s="1">
        <f>SUM(E3:E30)</f>
        <v>-63</v>
      </c>
      <c r="F31" s="1">
        <f t="shared" ref="F31:I31" si="1">SUM(F3:F30)</f>
        <v>11</v>
      </c>
      <c r="G31" s="1">
        <f t="shared" si="1"/>
        <v>-36</v>
      </c>
      <c r="H31" s="1">
        <f t="shared" si="1"/>
        <v>-22</v>
      </c>
      <c r="I31" s="1">
        <f t="shared" si="1"/>
        <v>-17</v>
      </c>
      <c r="J31" s="1">
        <f t="shared" ref="J31:AJ31" si="2">SUM(J3:J30)</f>
        <v>-44</v>
      </c>
      <c r="K31" s="1">
        <f t="shared" si="2"/>
        <v>150</v>
      </c>
      <c r="L31" s="1">
        <f t="shared" si="2"/>
        <v>-45</v>
      </c>
      <c r="M31" s="1">
        <f t="shared" si="2"/>
        <v>-54</v>
      </c>
      <c r="N31" s="1">
        <f t="shared" si="2"/>
        <v>-9</v>
      </c>
      <c r="O31" s="1">
        <f t="shared" si="2"/>
        <v>150</v>
      </c>
      <c r="P31" s="1">
        <f t="shared" si="2"/>
        <v>-38</v>
      </c>
      <c r="Q31" s="1">
        <f t="shared" si="2"/>
        <v>7</v>
      </c>
      <c r="R31" s="1">
        <f t="shared" si="2"/>
        <v>-12</v>
      </c>
      <c r="S31" s="1">
        <f t="shared" si="2"/>
        <v>-33</v>
      </c>
      <c r="T31" s="1">
        <f t="shared" si="2"/>
        <v>-9</v>
      </c>
      <c r="U31" s="1">
        <f t="shared" si="2"/>
        <v>70</v>
      </c>
      <c r="V31" s="1">
        <f t="shared" si="2"/>
        <v>-18</v>
      </c>
      <c r="W31" s="1">
        <f t="shared" si="2"/>
        <v>100</v>
      </c>
      <c r="X31" s="1">
        <f t="shared" si="2"/>
        <v>-24</v>
      </c>
      <c r="Y31" s="1">
        <f t="shared" si="2"/>
        <v>17</v>
      </c>
      <c r="Z31" s="1">
        <f t="shared" si="2"/>
        <v>-27</v>
      </c>
      <c r="AA31" s="1">
        <f t="shared" si="2"/>
        <v>2</v>
      </c>
      <c r="AB31" s="1">
        <f t="shared" si="2"/>
        <v>-33</v>
      </c>
      <c r="AC31" s="1">
        <f t="shared" si="2"/>
        <v>-13</v>
      </c>
      <c r="AD31" s="1">
        <f t="shared" si="2"/>
        <v>-35</v>
      </c>
      <c r="AE31" s="1">
        <f t="shared" si="2"/>
        <v>50</v>
      </c>
      <c r="AF31" s="1">
        <f t="shared" si="2"/>
        <v>-22</v>
      </c>
      <c r="AG31" s="1">
        <f t="shared" si="2"/>
        <v>-29</v>
      </c>
      <c r="AH31" s="1">
        <f t="shared" si="2"/>
        <v>-25</v>
      </c>
      <c r="AI31" s="1">
        <f t="shared" si="2"/>
        <v>100</v>
      </c>
      <c r="AJ31" s="1">
        <f t="shared" si="2"/>
        <v>5</v>
      </c>
      <c r="AK31" s="1">
        <f t="shared" si="0"/>
        <v>405</v>
      </c>
    </row>
  </sheetData>
  <mergeCells count="1">
    <mergeCell ref="A1:C1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499984740745262"/>
  </sheetPr>
  <dimension ref="A1:AL28"/>
  <sheetViews>
    <sheetView topLeftCell="J1" workbookViewId="0">
      <selection activeCell="A11" sqref="A11:XFD11"/>
    </sheetView>
  </sheetViews>
  <sheetFormatPr defaultRowHeight="14.4" x14ac:dyDescent="0.3"/>
  <cols>
    <col min="1" max="1" width="22.33203125" bestFit="1" customWidth="1"/>
    <col min="4" max="4" width="8.88671875" customWidth="1"/>
  </cols>
  <sheetData>
    <row r="1" spans="1:38" x14ac:dyDescent="0.3">
      <c r="A1" s="43" t="s">
        <v>75</v>
      </c>
      <c r="B1" s="43"/>
      <c r="C1" s="43"/>
      <c r="D1" s="1"/>
      <c r="E1" s="9">
        <v>37377</v>
      </c>
      <c r="F1" s="9">
        <v>37377</v>
      </c>
      <c r="G1" s="9">
        <v>38473</v>
      </c>
      <c r="H1" s="9">
        <v>38838</v>
      </c>
      <c r="I1" s="9">
        <v>39203</v>
      </c>
      <c r="J1" s="9">
        <v>39203</v>
      </c>
      <c r="K1" s="9">
        <v>39203</v>
      </c>
      <c r="L1" s="9">
        <v>39569</v>
      </c>
      <c r="M1" s="9">
        <v>39934</v>
      </c>
      <c r="N1" s="9">
        <v>39934</v>
      </c>
      <c r="O1" s="9">
        <v>39934</v>
      </c>
      <c r="P1" s="9">
        <v>41030</v>
      </c>
      <c r="Q1" s="9">
        <v>41030</v>
      </c>
      <c r="R1" s="9">
        <v>41395</v>
      </c>
      <c r="S1" s="9">
        <v>41760</v>
      </c>
      <c r="T1" s="9">
        <v>42125</v>
      </c>
      <c r="U1" s="9">
        <v>42491</v>
      </c>
      <c r="V1" s="9">
        <v>42491</v>
      </c>
      <c r="W1" s="9">
        <v>42491</v>
      </c>
      <c r="X1" s="9">
        <v>43586</v>
      </c>
      <c r="Y1" s="9">
        <v>43952</v>
      </c>
      <c r="Z1" s="9">
        <v>44317</v>
      </c>
      <c r="AA1" s="9">
        <v>44682</v>
      </c>
      <c r="AB1" s="9">
        <v>44682</v>
      </c>
      <c r="AC1" s="9">
        <v>44682</v>
      </c>
      <c r="AD1" s="9">
        <v>45047</v>
      </c>
      <c r="AE1" s="9">
        <v>46143</v>
      </c>
      <c r="AF1" s="9">
        <v>46508</v>
      </c>
      <c r="AG1" s="9">
        <v>46508</v>
      </c>
      <c r="AH1" s="9">
        <v>46874</v>
      </c>
      <c r="AI1" s="9">
        <v>46874</v>
      </c>
      <c r="AJ1" s="9">
        <v>47239</v>
      </c>
      <c r="AK1" s="9">
        <v>11079</v>
      </c>
      <c r="AL1" s="1"/>
    </row>
    <row r="2" spans="1:38" x14ac:dyDescent="0.3">
      <c r="A2" s="1" t="s">
        <v>1</v>
      </c>
      <c r="B2" s="1" t="s">
        <v>2</v>
      </c>
      <c r="C2" s="1" t="s">
        <v>3</v>
      </c>
      <c r="D2" s="1"/>
      <c r="E2" s="1"/>
      <c r="F2" s="1" t="s">
        <v>5</v>
      </c>
      <c r="G2" s="1"/>
      <c r="H2" s="1"/>
      <c r="I2" s="1" t="s">
        <v>4</v>
      </c>
      <c r="J2" s="1"/>
      <c r="K2" s="10" t="s">
        <v>61</v>
      </c>
      <c r="L2" s="1"/>
      <c r="M2" s="1"/>
      <c r="N2" s="1" t="s">
        <v>4</v>
      </c>
      <c r="O2" s="1" t="s">
        <v>4</v>
      </c>
      <c r="P2" s="1" t="s">
        <v>5</v>
      </c>
      <c r="Q2" s="1"/>
      <c r="R2" s="1"/>
      <c r="S2" s="1"/>
      <c r="T2" s="1"/>
      <c r="U2" s="1" t="s">
        <v>4</v>
      </c>
      <c r="V2" s="1"/>
      <c r="W2" s="10" t="s">
        <v>61</v>
      </c>
      <c r="X2" s="1"/>
      <c r="Y2" s="1"/>
      <c r="Z2" s="1"/>
      <c r="AA2" s="1"/>
      <c r="AB2" s="17" t="s">
        <v>5</v>
      </c>
      <c r="AC2" s="17" t="s">
        <v>5</v>
      </c>
      <c r="AD2" s="17"/>
      <c r="AE2" s="17"/>
      <c r="AF2" s="17"/>
      <c r="AG2" s="17" t="s">
        <v>5</v>
      </c>
      <c r="AH2" s="17"/>
      <c r="AI2" s="18" t="s">
        <v>61</v>
      </c>
      <c r="AJ2" s="17"/>
      <c r="AK2" s="17"/>
      <c r="AL2" s="1"/>
    </row>
    <row r="3" spans="1:38" x14ac:dyDescent="0.3">
      <c r="A3" s="2" t="s">
        <v>17</v>
      </c>
      <c r="B3" s="3" t="s">
        <v>62</v>
      </c>
      <c r="C3" s="13">
        <v>1.27</v>
      </c>
      <c r="D3" s="1">
        <v>50</v>
      </c>
      <c r="E3" s="2"/>
      <c r="F3" s="2"/>
      <c r="G3" s="2"/>
      <c r="H3" s="2"/>
      <c r="I3" s="2"/>
      <c r="J3" s="2">
        <v>-11</v>
      </c>
      <c r="K3" s="2"/>
      <c r="L3" s="2">
        <v>-3</v>
      </c>
      <c r="M3" s="2"/>
      <c r="N3" s="2"/>
      <c r="O3" s="2"/>
      <c r="P3" s="2"/>
      <c r="Q3" s="2"/>
      <c r="R3" s="2"/>
      <c r="S3" s="2"/>
      <c r="T3" s="2"/>
      <c r="U3" s="2">
        <v>50</v>
      </c>
      <c r="V3" s="2"/>
      <c r="W3" s="2"/>
      <c r="X3" s="2"/>
      <c r="Y3" s="2">
        <v>-9</v>
      </c>
      <c r="Z3" s="2"/>
      <c r="AA3" s="2"/>
      <c r="AB3" s="2"/>
      <c r="AC3" s="2"/>
      <c r="AD3" s="2"/>
      <c r="AE3" s="2">
        <v>-10</v>
      </c>
      <c r="AF3" s="2">
        <v>-8</v>
      </c>
      <c r="AG3" s="2"/>
      <c r="AH3" s="2"/>
      <c r="AI3" s="2"/>
      <c r="AJ3" s="2"/>
      <c r="AK3" s="2"/>
      <c r="AL3" s="1">
        <f>SUM(D3:AK3)</f>
        <v>59</v>
      </c>
    </row>
    <row r="4" spans="1:38" x14ac:dyDescent="0.3">
      <c r="A4" s="10" t="s">
        <v>64</v>
      </c>
      <c r="B4" s="12"/>
      <c r="C4" s="14">
        <v>5.26</v>
      </c>
      <c r="D4" s="10">
        <v>6</v>
      </c>
      <c r="E4" s="10">
        <v>-5</v>
      </c>
      <c r="F4" s="10"/>
      <c r="G4" s="10">
        <v>-1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">
        <f t="shared" ref="AL4:AL28" si="0">SUM(D4:AK4)</f>
        <v>0</v>
      </c>
    </row>
    <row r="5" spans="1:38" x14ac:dyDescent="0.3">
      <c r="A5" s="2" t="s">
        <v>17</v>
      </c>
      <c r="B5" s="3" t="s">
        <v>51</v>
      </c>
      <c r="C5" s="13">
        <v>7.26</v>
      </c>
      <c r="D5" s="1">
        <v>108</v>
      </c>
      <c r="E5" s="2">
        <v>-6</v>
      </c>
      <c r="F5" s="2"/>
      <c r="G5" s="2">
        <v>-2</v>
      </c>
      <c r="H5" s="2">
        <v>-18</v>
      </c>
      <c r="I5" s="2"/>
      <c r="J5" s="2"/>
      <c r="K5" s="2"/>
      <c r="L5" s="2"/>
      <c r="M5" s="2"/>
      <c r="N5" s="2"/>
      <c r="O5" s="2"/>
      <c r="P5" s="2"/>
      <c r="Q5" s="2">
        <v>-2</v>
      </c>
      <c r="R5" s="2">
        <v>-12</v>
      </c>
      <c r="S5" s="2"/>
      <c r="T5" s="2">
        <v>-6</v>
      </c>
      <c r="U5" s="2"/>
      <c r="V5" s="2">
        <v>-7</v>
      </c>
      <c r="W5" s="2"/>
      <c r="X5" s="2">
        <v>-10</v>
      </c>
      <c r="Y5" s="2"/>
      <c r="Z5" s="2"/>
      <c r="AA5" s="2"/>
      <c r="AB5" s="2"/>
      <c r="AC5" s="2"/>
      <c r="AD5" s="2">
        <v>-21</v>
      </c>
      <c r="AE5" s="2"/>
      <c r="AF5" s="2"/>
      <c r="AG5" s="2">
        <v>50</v>
      </c>
      <c r="AH5" s="2"/>
      <c r="AI5" s="2"/>
      <c r="AJ5" s="2">
        <v>-10</v>
      </c>
      <c r="AK5" s="2">
        <v>-15</v>
      </c>
      <c r="AL5" s="1">
        <f t="shared" si="0"/>
        <v>49</v>
      </c>
    </row>
    <row r="6" spans="1:38" x14ac:dyDescent="0.3">
      <c r="A6" s="10" t="s">
        <v>6</v>
      </c>
      <c r="B6" s="12"/>
      <c r="C6" s="14"/>
      <c r="D6" s="10">
        <v>2</v>
      </c>
      <c r="E6" s="10">
        <v>-2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">
        <f t="shared" si="0"/>
        <v>0</v>
      </c>
    </row>
    <row r="7" spans="1:38" x14ac:dyDescent="0.3">
      <c r="A7" s="2" t="s">
        <v>6</v>
      </c>
      <c r="B7" s="7" t="s">
        <v>65</v>
      </c>
      <c r="C7" s="15">
        <v>3.27</v>
      </c>
      <c r="D7" s="1">
        <v>49</v>
      </c>
      <c r="E7" s="2">
        <v>-11</v>
      </c>
      <c r="F7" s="2">
        <v>50</v>
      </c>
      <c r="G7" s="2">
        <v>-2</v>
      </c>
      <c r="H7" s="2">
        <v>-1</v>
      </c>
      <c r="I7" s="2"/>
      <c r="J7" s="2">
        <v>-1</v>
      </c>
      <c r="K7" s="2"/>
      <c r="L7" s="2"/>
      <c r="M7" s="2">
        <v>-1</v>
      </c>
      <c r="N7" s="2"/>
      <c r="O7" s="2">
        <v>30</v>
      </c>
      <c r="P7" s="2"/>
      <c r="Q7" s="2">
        <v>-2</v>
      </c>
      <c r="R7" s="2">
        <v>-4</v>
      </c>
      <c r="S7" s="2">
        <v>-3</v>
      </c>
      <c r="T7" s="2"/>
      <c r="U7" s="2"/>
      <c r="V7" s="2"/>
      <c r="W7" s="2"/>
      <c r="X7" s="2"/>
      <c r="Y7" s="2">
        <v>-5</v>
      </c>
      <c r="Z7" s="2">
        <v>-3</v>
      </c>
      <c r="AA7" s="2"/>
      <c r="AB7" s="2"/>
      <c r="AC7" s="2"/>
      <c r="AD7" s="2">
        <v>-10</v>
      </c>
      <c r="AE7" s="2">
        <v>-10</v>
      </c>
      <c r="AF7" s="2"/>
      <c r="AG7" s="2"/>
      <c r="AH7" s="2"/>
      <c r="AI7" s="2"/>
      <c r="AJ7" s="2"/>
      <c r="AK7" s="2">
        <v>-1</v>
      </c>
      <c r="AL7" s="1">
        <f t="shared" si="0"/>
        <v>75</v>
      </c>
    </row>
    <row r="8" spans="1:38" x14ac:dyDescent="0.3">
      <c r="A8" s="2" t="s">
        <v>12</v>
      </c>
      <c r="B8" s="7" t="s">
        <v>67</v>
      </c>
      <c r="C8" s="15">
        <v>6.26</v>
      </c>
      <c r="D8" s="1">
        <v>12</v>
      </c>
      <c r="E8" s="2"/>
      <c r="F8" s="2">
        <v>20</v>
      </c>
      <c r="G8" s="2">
        <v>-1</v>
      </c>
      <c r="H8" s="2">
        <v>-2</v>
      </c>
      <c r="I8" s="2"/>
      <c r="J8" s="2"/>
      <c r="K8" s="2"/>
      <c r="L8" s="2"/>
      <c r="M8" s="2"/>
      <c r="N8" s="2"/>
      <c r="O8" s="2"/>
      <c r="P8" s="2"/>
      <c r="Q8" s="2"/>
      <c r="R8" s="2">
        <v>-3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>
        <v>-5</v>
      </c>
      <c r="AL8" s="1">
        <f t="shared" si="0"/>
        <v>21</v>
      </c>
    </row>
    <row r="9" spans="1:38" x14ac:dyDescent="0.3">
      <c r="A9" s="2" t="s">
        <v>24</v>
      </c>
      <c r="B9" s="8" t="s">
        <v>52</v>
      </c>
      <c r="C9" s="15">
        <v>7.26</v>
      </c>
      <c r="D9" s="1">
        <v>13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>
        <v>-12</v>
      </c>
      <c r="AE9" s="2"/>
      <c r="AF9" s="2"/>
      <c r="AG9" s="2"/>
      <c r="AH9" s="2"/>
      <c r="AI9" s="2"/>
      <c r="AJ9" s="2"/>
      <c r="AK9" s="2"/>
      <c r="AL9" s="1">
        <f t="shared" si="0"/>
        <v>1</v>
      </c>
    </row>
    <row r="10" spans="1:38" x14ac:dyDescent="0.3">
      <c r="A10" s="10" t="s">
        <v>68</v>
      </c>
      <c r="B10" s="11" t="s">
        <v>52</v>
      </c>
      <c r="C10" s="14">
        <v>7.26</v>
      </c>
      <c r="D10" s="10">
        <v>2</v>
      </c>
      <c r="E10" s="10">
        <v>-2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">
        <f t="shared" si="0"/>
        <v>0</v>
      </c>
    </row>
    <row r="11" spans="1:38" x14ac:dyDescent="0.3">
      <c r="A11" s="2" t="s">
        <v>24</v>
      </c>
      <c r="B11" s="8" t="s">
        <v>69</v>
      </c>
      <c r="C11" s="15">
        <v>10.26</v>
      </c>
      <c r="D11" s="1">
        <v>100</v>
      </c>
      <c r="E11" s="2"/>
      <c r="F11" s="2"/>
      <c r="G11" s="2">
        <v>-10</v>
      </c>
      <c r="H11" s="2">
        <v>-1</v>
      </c>
      <c r="I11" s="2"/>
      <c r="J11" s="2">
        <v>-1</v>
      </c>
      <c r="K11" s="2"/>
      <c r="L11" s="2"/>
      <c r="M11" s="2">
        <v>-16</v>
      </c>
      <c r="N11" s="2"/>
      <c r="O11" s="2"/>
      <c r="P11" s="2"/>
      <c r="Q11" s="2">
        <v>-23</v>
      </c>
      <c r="R11" s="2">
        <v>-19</v>
      </c>
      <c r="S11" s="2">
        <v>-3</v>
      </c>
      <c r="T11" s="2"/>
      <c r="U11" s="2"/>
      <c r="V11" s="2">
        <v>-7</v>
      </c>
      <c r="W11" s="2"/>
      <c r="X11" s="2">
        <v>-2</v>
      </c>
      <c r="Y11" s="2">
        <v>-9</v>
      </c>
      <c r="Z11" s="2">
        <v>-3</v>
      </c>
      <c r="AA11" s="2"/>
      <c r="AB11" s="2"/>
      <c r="AC11" s="2"/>
      <c r="AD11" s="2"/>
      <c r="AE11" s="2"/>
      <c r="AF11" s="2">
        <v>-6</v>
      </c>
      <c r="AG11" s="2">
        <v>1</v>
      </c>
      <c r="AH11" s="2"/>
      <c r="AI11" s="10">
        <v>2</v>
      </c>
      <c r="AJ11" s="2"/>
      <c r="AK11" s="2">
        <v>-1</v>
      </c>
      <c r="AL11" s="10">
        <f t="shared" si="0"/>
        <v>2</v>
      </c>
    </row>
    <row r="12" spans="1:38" x14ac:dyDescent="0.3">
      <c r="A12" s="2" t="s">
        <v>24</v>
      </c>
      <c r="B12" s="8" t="s">
        <v>76</v>
      </c>
      <c r="C12" s="15" t="s">
        <v>77</v>
      </c>
      <c r="D12" s="1">
        <v>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>
        <v>98</v>
      </c>
      <c r="AH12" s="2">
        <v>-4</v>
      </c>
      <c r="AI12" s="2"/>
      <c r="AJ12" s="2">
        <v>-3</v>
      </c>
      <c r="AK12" s="2">
        <v>-4</v>
      </c>
      <c r="AL12" s="1">
        <f t="shared" si="0"/>
        <v>87</v>
      </c>
    </row>
    <row r="13" spans="1:38" x14ac:dyDescent="0.3">
      <c r="A13" s="2" t="s">
        <v>24</v>
      </c>
      <c r="B13" s="8" t="s">
        <v>78</v>
      </c>
      <c r="C13" s="15" t="s">
        <v>79</v>
      </c>
      <c r="D13" s="1">
        <v>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>
        <v>1</v>
      </c>
      <c r="AH13" s="2"/>
      <c r="AI13" s="2"/>
      <c r="AJ13" s="2"/>
      <c r="AK13" s="2"/>
      <c r="AL13" s="1">
        <f t="shared" si="0"/>
        <v>1</v>
      </c>
    </row>
    <row r="14" spans="1:38" x14ac:dyDescent="0.3">
      <c r="A14" s="2" t="s">
        <v>30</v>
      </c>
      <c r="B14" s="8" t="s">
        <v>80</v>
      </c>
      <c r="C14" s="15">
        <v>2.2799999999999998</v>
      </c>
      <c r="D14" s="1">
        <v>0</v>
      </c>
      <c r="E14" s="2"/>
      <c r="F14" s="2">
        <v>50</v>
      </c>
      <c r="G14" s="2"/>
      <c r="H14" s="2"/>
      <c r="I14" s="2"/>
      <c r="J14" s="2"/>
      <c r="K14" s="2"/>
      <c r="L14" s="2"/>
      <c r="M14" s="2">
        <v>-3</v>
      </c>
      <c r="N14" s="2"/>
      <c r="O14" s="2"/>
      <c r="P14" s="2"/>
      <c r="Q14" s="2"/>
      <c r="R14" s="2">
        <v>-6</v>
      </c>
      <c r="S14" s="2">
        <v>-10</v>
      </c>
      <c r="T14" s="2"/>
      <c r="U14" s="2"/>
      <c r="V14" s="2">
        <v>-6</v>
      </c>
      <c r="W14" s="2"/>
      <c r="X14" s="2"/>
      <c r="Y14" s="2"/>
      <c r="Z14" s="2">
        <v>-3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>
        <v>-2</v>
      </c>
      <c r="AL14" s="1">
        <f t="shared" si="0"/>
        <v>20</v>
      </c>
    </row>
    <row r="15" spans="1:38" x14ac:dyDescent="0.3">
      <c r="A15" s="2" t="s">
        <v>30</v>
      </c>
      <c r="B15" s="8" t="s">
        <v>72</v>
      </c>
      <c r="C15" s="15">
        <v>11.27</v>
      </c>
      <c r="D15" s="1">
        <v>13</v>
      </c>
      <c r="E15" s="2">
        <v>-5</v>
      </c>
      <c r="F15" s="2"/>
      <c r="G15" s="2">
        <v>-4</v>
      </c>
      <c r="H15" s="2"/>
      <c r="I15" s="2"/>
      <c r="J15" s="2">
        <v>-4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1">
        <f t="shared" si="0"/>
        <v>0</v>
      </c>
    </row>
    <row r="16" spans="1:38" x14ac:dyDescent="0.3">
      <c r="A16" s="2" t="s">
        <v>30</v>
      </c>
      <c r="B16" s="8" t="s">
        <v>81</v>
      </c>
      <c r="C16" s="15">
        <v>10.28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>
        <v>30</v>
      </c>
      <c r="AD16" s="2"/>
      <c r="AE16" s="2"/>
      <c r="AF16" s="2"/>
      <c r="AG16" s="2"/>
      <c r="AH16" s="2"/>
      <c r="AI16" s="2"/>
      <c r="AJ16" s="2"/>
      <c r="AK16" s="2"/>
      <c r="AL16" s="1">
        <f t="shared" si="0"/>
        <v>30</v>
      </c>
    </row>
    <row r="17" spans="1:38" x14ac:dyDescent="0.3">
      <c r="A17" s="2" t="s">
        <v>55</v>
      </c>
      <c r="B17" s="8" t="s">
        <v>56</v>
      </c>
      <c r="C17" s="15">
        <v>4.2699999999999996</v>
      </c>
      <c r="D17" s="1">
        <v>17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1">
        <f t="shared" si="0"/>
        <v>17</v>
      </c>
    </row>
    <row r="18" spans="1:38" x14ac:dyDescent="0.3">
      <c r="A18" s="2" t="s">
        <v>57</v>
      </c>
      <c r="B18" s="8" t="s">
        <v>58</v>
      </c>
      <c r="C18" s="15">
        <v>5.27</v>
      </c>
      <c r="D18" s="1">
        <v>17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1">
        <f t="shared" si="0"/>
        <v>17</v>
      </c>
    </row>
    <row r="19" spans="1:38" x14ac:dyDescent="0.3">
      <c r="A19" s="10" t="s">
        <v>82</v>
      </c>
      <c r="B19" s="11"/>
      <c r="C19" s="14"/>
      <c r="D19" s="10"/>
      <c r="E19" s="10"/>
      <c r="F19" s="10"/>
      <c r="G19" s="10"/>
      <c r="H19" s="10"/>
      <c r="I19" s="10"/>
      <c r="J19" s="10"/>
      <c r="K19" s="10">
        <v>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">
        <f t="shared" si="0"/>
        <v>1</v>
      </c>
    </row>
    <row r="20" spans="1:38" x14ac:dyDescent="0.3">
      <c r="A20" s="10" t="s">
        <v>33</v>
      </c>
      <c r="B20" s="11"/>
      <c r="C20" s="14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>
        <v>2</v>
      </c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">
        <f t="shared" si="0"/>
        <v>2</v>
      </c>
    </row>
    <row r="21" spans="1:38" x14ac:dyDescent="0.3">
      <c r="A21" s="2" t="s">
        <v>33</v>
      </c>
      <c r="B21" s="8" t="s">
        <v>74</v>
      </c>
      <c r="C21" s="15">
        <v>2.27</v>
      </c>
      <c r="D21" s="1">
        <v>8</v>
      </c>
      <c r="E21" s="2"/>
      <c r="F21" s="2"/>
      <c r="G21" s="2"/>
      <c r="H21" s="2"/>
      <c r="I21" s="2"/>
      <c r="J21" s="2"/>
      <c r="K21" s="2"/>
      <c r="L21" s="2">
        <v>-2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1">
        <f t="shared" si="0"/>
        <v>6</v>
      </c>
    </row>
    <row r="22" spans="1:38" x14ac:dyDescent="0.3">
      <c r="A22" s="2" t="s">
        <v>33</v>
      </c>
      <c r="B22" s="8" t="s">
        <v>83</v>
      </c>
      <c r="C22" s="15">
        <v>12.26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>
        <v>10</v>
      </c>
      <c r="AC22" s="2"/>
      <c r="AD22" s="2"/>
      <c r="AE22" s="2"/>
      <c r="AF22" s="2"/>
      <c r="AG22" s="2"/>
      <c r="AH22" s="2"/>
      <c r="AI22" s="2"/>
      <c r="AJ22" s="2"/>
      <c r="AK22" s="2"/>
      <c r="AL22" s="1">
        <f t="shared" si="0"/>
        <v>10</v>
      </c>
    </row>
    <row r="23" spans="1:38" x14ac:dyDescent="0.3">
      <c r="A23" s="2" t="s">
        <v>84</v>
      </c>
      <c r="B23" s="8" t="s">
        <v>85</v>
      </c>
      <c r="C23" s="15">
        <v>6.2027000000000001</v>
      </c>
      <c r="D23" s="1">
        <v>0</v>
      </c>
      <c r="E23" s="2"/>
      <c r="F23" s="2"/>
      <c r="G23" s="2"/>
      <c r="H23" s="2"/>
      <c r="I23" s="2"/>
      <c r="J23" s="2"/>
      <c r="K23" s="2"/>
      <c r="L23" s="2"/>
      <c r="M23" s="2"/>
      <c r="N23" s="2">
        <v>20</v>
      </c>
      <c r="O23" s="2"/>
      <c r="P23" s="2"/>
      <c r="Q23" s="2"/>
      <c r="R23" s="2"/>
      <c r="S23" s="2">
        <v>-2</v>
      </c>
      <c r="T23" s="2"/>
      <c r="U23" s="2"/>
      <c r="V23" s="2">
        <v>-2</v>
      </c>
      <c r="W23" s="2"/>
      <c r="X23" s="2"/>
      <c r="Y23" s="2">
        <v>-1</v>
      </c>
      <c r="Z23" s="2"/>
      <c r="AA23" s="2">
        <v>-3</v>
      </c>
      <c r="AB23" s="2"/>
      <c r="AC23" s="2"/>
      <c r="AD23" s="2"/>
      <c r="AE23" s="2">
        <v>-2</v>
      </c>
      <c r="AF23" s="2"/>
      <c r="AG23" s="2"/>
      <c r="AH23" s="2"/>
      <c r="AI23" s="2"/>
      <c r="AJ23" s="2"/>
      <c r="AK23" s="2"/>
      <c r="AL23" s="1">
        <f t="shared" si="0"/>
        <v>10</v>
      </c>
    </row>
    <row r="24" spans="1:38" x14ac:dyDescent="0.3">
      <c r="A24" s="2" t="s">
        <v>33</v>
      </c>
      <c r="B24" s="8" t="s">
        <v>35</v>
      </c>
      <c r="C24" s="15">
        <v>9.26</v>
      </c>
      <c r="D24" s="1">
        <v>5</v>
      </c>
      <c r="E24" s="2"/>
      <c r="F24" s="2"/>
      <c r="G24" s="2"/>
      <c r="H24" s="2"/>
      <c r="I24" s="2"/>
      <c r="J24" s="2"/>
      <c r="K24" s="2"/>
      <c r="L24" s="2"/>
      <c r="M24" s="2">
        <v>-2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1">
        <f t="shared" si="0"/>
        <v>3</v>
      </c>
    </row>
    <row r="25" spans="1:38" x14ac:dyDescent="0.3">
      <c r="A25" s="2" t="s">
        <v>37</v>
      </c>
      <c r="B25" s="6" t="s">
        <v>38</v>
      </c>
      <c r="C25" s="15">
        <v>8.26</v>
      </c>
      <c r="D25" s="1">
        <v>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1">
        <f t="shared" si="0"/>
        <v>3</v>
      </c>
    </row>
    <row r="26" spans="1:38" x14ac:dyDescent="0.3">
      <c r="A26" s="2" t="s">
        <v>86</v>
      </c>
      <c r="B26" s="6" t="s">
        <v>87</v>
      </c>
      <c r="C26" s="15"/>
      <c r="D26" s="1">
        <v>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>
        <v>5</v>
      </c>
      <c r="Q26" s="2">
        <v>-1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>
        <v>-2</v>
      </c>
      <c r="AE26" s="2"/>
      <c r="AF26" s="2"/>
      <c r="AG26" s="2"/>
      <c r="AH26" s="2"/>
      <c r="AI26" s="2"/>
      <c r="AJ26" s="2"/>
      <c r="AK26" s="2"/>
      <c r="AL26" s="1">
        <f t="shared" si="0"/>
        <v>2</v>
      </c>
    </row>
    <row r="27" spans="1:38" x14ac:dyDescent="0.3">
      <c r="A27" s="2" t="s">
        <v>88</v>
      </c>
      <c r="B27" s="6" t="s">
        <v>89</v>
      </c>
      <c r="C27" s="15">
        <v>6.27</v>
      </c>
      <c r="D27" s="1">
        <v>0</v>
      </c>
      <c r="E27" s="2"/>
      <c r="F27" s="2"/>
      <c r="G27" s="2"/>
      <c r="H27" s="2"/>
      <c r="I27" s="2">
        <v>20</v>
      </c>
      <c r="J27" s="2">
        <v>-2</v>
      </c>
      <c r="K27" s="2"/>
      <c r="L27" s="2"/>
      <c r="M27" s="2">
        <v>-1</v>
      </c>
      <c r="N27" s="2"/>
      <c r="O27" s="2"/>
      <c r="P27" s="2"/>
      <c r="Q27" s="2">
        <v>-1</v>
      </c>
      <c r="R27" s="2">
        <v>-3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1">
        <f t="shared" si="0"/>
        <v>13</v>
      </c>
    </row>
    <row r="28" spans="1:38" x14ac:dyDescent="0.3">
      <c r="A28" s="1" t="s">
        <v>39</v>
      </c>
      <c r="B28" s="1"/>
      <c r="C28" s="16"/>
      <c r="D28" s="1">
        <v>405</v>
      </c>
      <c r="E28" s="1">
        <f>SUM(E3:E27)</f>
        <v>-31</v>
      </c>
      <c r="F28" s="1">
        <f t="shared" ref="F28:AK28" si="1">SUM(F3:F27)</f>
        <v>120</v>
      </c>
      <c r="G28" s="1">
        <f t="shared" si="1"/>
        <v>-20</v>
      </c>
      <c r="H28" s="1">
        <f t="shared" si="1"/>
        <v>-22</v>
      </c>
      <c r="I28" s="1">
        <f t="shared" si="1"/>
        <v>20</v>
      </c>
      <c r="J28" s="1">
        <f t="shared" si="1"/>
        <v>-19</v>
      </c>
      <c r="K28" s="1">
        <f t="shared" si="1"/>
        <v>1</v>
      </c>
      <c r="L28" s="1">
        <f t="shared" si="1"/>
        <v>-5</v>
      </c>
      <c r="M28" s="1">
        <f t="shared" si="1"/>
        <v>-23</v>
      </c>
      <c r="N28" s="1">
        <f t="shared" si="1"/>
        <v>20</v>
      </c>
      <c r="O28" s="1">
        <f t="shared" si="1"/>
        <v>30</v>
      </c>
      <c r="P28" s="1">
        <f t="shared" si="1"/>
        <v>5</v>
      </c>
      <c r="Q28" s="1">
        <f t="shared" si="1"/>
        <v>-29</v>
      </c>
      <c r="R28" s="1">
        <f t="shared" si="1"/>
        <v>-47</v>
      </c>
      <c r="S28" s="1">
        <f t="shared" si="1"/>
        <v>-18</v>
      </c>
      <c r="T28" s="1">
        <f t="shared" si="1"/>
        <v>-6</v>
      </c>
      <c r="U28" s="1">
        <f t="shared" si="1"/>
        <v>50</v>
      </c>
      <c r="V28" s="1">
        <f t="shared" si="1"/>
        <v>-22</v>
      </c>
      <c r="W28" s="1">
        <f t="shared" si="1"/>
        <v>2</v>
      </c>
      <c r="X28" s="1">
        <f t="shared" si="1"/>
        <v>-12</v>
      </c>
      <c r="Y28" s="1">
        <f t="shared" si="1"/>
        <v>-24</v>
      </c>
      <c r="Z28" s="1">
        <f t="shared" si="1"/>
        <v>-9</v>
      </c>
      <c r="AA28" s="1">
        <f t="shared" si="1"/>
        <v>-3</v>
      </c>
      <c r="AB28" s="1">
        <f t="shared" si="1"/>
        <v>10</v>
      </c>
      <c r="AC28" s="1">
        <f t="shared" si="1"/>
        <v>30</v>
      </c>
      <c r="AD28" s="1">
        <f t="shared" si="1"/>
        <v>-45</v>
      </c>
      <c r="AE28" s="1">
        <f t="shared" si="1"/>
        <v>-22</v>
      </c>
      <c r="AF28" s="1">
        <f t="shared" si="1"/>
        <v>-14</v>
      </c>
      <c r="AG28" s="1">
        <f t="shared" si="1"/>
        <v>150</v>
      </c>
      <c r="AH28" s="1">
        <f t="shared" si="1"/>
        <v>-4</v>
      </c>
      <c r="AI28" s="1">
        <f t="shared" si="1"/>
        <v>2</v>
      </c>
      <c r="AJ28" s="1">
        <f t="shared" si="1"/>
        <v>-13</v>
      </c>
      <c r="AK28" s="1">
        <f t="shared" si="1"/>
        <v>-28</v>
      </c>
      <c r="AL28" s="1">
        <f t="shared" si="0"/>
        <v>429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2"/>
  <sheetViews>
    <sheetView topLeftCell="D1" workbookViewId="0">
      <selection activeCell="A14" sqref="A14:AF14"/>
    </sheetView>
  </sheetViews>
  <sheetFormatPr defaultRowHeight="14.4" x14ac:dyDescent="0.3"/>
  <cols>
    <col min="1" max="1" width="22.33203125" bestFit="1" customWidth="1"/>
    <col min="2" max="2" width="9.33203125" bestFit="1" customWidth="1"/>
    <col min="3" max="3" width="10.109375" bestFit="1" customWidth="1"/>
    <col min="10" max="26" width="8.88671875" customWidth="1"/>
    <col min="32" max="32" width="8.33203125" bestFit="1" customWidth="1"/>
  </cols>
  <sheetData>
    <row r="1" spans="1:32" x14ac:dyDescent="0.3">
      <c r="A1" s="43" t="s">
        <v>90</v>
      </c>
      <c r="B1" s="43"/>
      <c r="C1" s="43"/>
      <c r="D1" s="1"/>
      <c r="E1" s="9">
        <v>37408</v>
      </c>
      <c r="F1" s="9">
        <v>37773</v>
      </c>
      <c r="G1" s="9">
        <v>38139</v>
      </c>
      <c r="H1" s="9">
        <v>38504</v>
      </c>
      <c r="I1" s="9">
        <v>38869</v>
      </c>
      <c r="J1" s="9">
        <v>39965</v>
      </c>
      <c r="K1" s="9">
        <v>40330</v>
      </c>
      <c r="L1" s="9">
        <v>39965</v>
      </c>
      <c r="M1" s="9">
        <v>40695</v>
      </c>
      <c r="N1" s="9">
        <v>40695</v>
      </c>
      <c r="O1" s="9">
        <v>41061</v>
      </c>
      <c r="P1" s="9">
        <v>41426</v>
      </c>
      <c r="Q1" s="9">
        <v>40695</v>
      </c>
      <c r="R1" s="9">
        <v>42522</v>
      </c>
      <c r="S1" s="9">
        <v>42887</v>
      </c>
      <c r="T1" s="9">
        <v>42887</v>
      </c>
      <c r="U1" s="9">
        <v>43252</v>
      </c>
      <c r="V1" s="9">
        <v>43252</v>
      </c>
      <c r="W1" s="9">
        <v>43617</v>
      </c>
      <c r="X1" s="9">
        <v>43983</v>
      </c>
      <c r="Y1" s="9">
        <v>45078</v>
      </c>
      <c r="Z1" s="9">
        <v>45444</v>
      </c>
      <c r="AA1" s="9">
        <v>45809</v>
      </c>
      <c r="AB1" s="9">
        <v>46174</v>
      </c>
      <c r="AC1" s="9">
        <v>46539</v>
      </c>
      <c r="AD1" s="9">
        <v>11110</v>
      </c>
      <c r="AE1" s="9"/>
      <c r="AF1" s="1"/>
    </row>
    <row r="2" spans="1:32" x14ac:dyDescent="0.3">
      <c r="A2" s="1" t="s">
        <v>1</v>
      </c>
      <c r="B2" s="1" t="s">
        <v>2</v>
      </c>
      <c r="C2" s="1" t="s">
        <v>3</v>
      </c>
      <c r="D2" s="1"/>
      <c r="E2" s="1"/>
      <c r="F2" s="1"/>
      <c r="G2" s="1"/>
      <c r="H2" s="1"/>
      <c r="I2" s="1"/>
      <c r="J2" s="1"/>
      <c r="K2" s="1"/>
      <c r="L2" s="10" t="s">
        <v>61</v>
      </c>
      <c r="M2" s="1"/>
      <c r="N2" s="1" t="s">
        <v>4</v>
      </c>
      <c r="O2" s="1"/>
      <c r="P2" s="1"/>
      <c r="Q2" s="1"/>
      <c r="R2" s="1"/>
      <c r="S2" s="1"/>
      <c r="T2" s="1" t="s">
        <v>91</v>
      </c>
      <c r="U2" s="1"/>
      <c r="V2" s="1" t="s">
        <v>4</v>
      </c>
      <c r="W2" s="1"/>
      <c r="X2" s="1"/>
      <c r="Y2" s="1"/>
      <c r="Z2" s="19" t="s">
        <v>61</v>
      </c>
      <c r="AA2" s="1"/>
      <c r="AB2" s="1"/>
      <c r="AC2" s="1"/>
      <c r="AD2" s="1"/>
      <c r="AE2" s="1"/>
      <c r="AF2" s="1"/>
    </row>
    <row r="3" spans="1:32" x14ac:dyDescent="0.3">
      <c r="A3" s="2" t="s">
        <v>17</v>
      </c>
      <c r="B3" s="3" t="s">
        <v>62</v>
      </c>
      <c r="C3" s="13">
        <v>1.27</v>
      </c>
      <c r="D3" s="1">
        <v>59</v>
      </c>
      <c r="E3" s="2"/>
      <c r="F3" s="2"/>
      <c r="G3" s="2"/>
      <c r="H3" s="2"/>
      <c r="I3" s="2"/>
      <c r="J3" s="2">
        <v>-11</v>
      </c>
      <c r="K3" s="2">
        <v>-10</v>
      </c>
      <c r="L3" s="2"/>
      <c r="M3" s="2"/>
      <c r="N3" s="2"/>
      <c r="O3" s="2">
        <v>-10</v>
      </c>
      <c r="P3" s="2">
        <v>-4</v>
      </c>
      <c r="Q3" s="2"/>
      <c r="R3" s="2"/>
      <c r="S3" s="2"/>
      <c r="T3" s="2"/>
      <c r="U3" s="2"/>
      <c r="V3" s="2"/>
      <c r="W3" s="2">
        <v>-2</v>
      </c>
      <c r="X3" s="2">
        <v>-13</v>
      </c>
      <c r="Y3" s="2">
        <v>-4</v>
      </c>
      <c r="Z3" s="2"/>
      <c r="AA3" s="2">
        <v>-2</v>
      </c>
      <c r="AB3" s="2">
        <v>-1</v>
      </c>
      <c r="AC3" s="2"/>
      <c r="AD3" s="2"/>
      <c r="AE3" s="2"/>
      <c r="AF3" s="1">
        <f>SUM(D3:AE3)</f>
        <v>2</v>
      </c>
    </row>
    <row r="4" spans="1:32" x14ac:dyDescent="0.3">
      <c r="A4" s="10" t="s">
        <v>64</v>
      </c>
      <c r="B4" s="12"/>
      <c r="C4" s="14"/>
      <c r="D4" s="10">
        <v>0</v>
      </c>
      <c r="E4" s="10"/>
      <c r="F4" s="10"/>
      <c r="G4" s="10"/>
      <c r="H4" s="10"/>
      <c r="I4" s="10"/>
      <c r="J4" s="10"/>
      <c r="K4" s="10"/>
      <c r="L4" s="10">
        <v>3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>
        <v>5</v>
      </c>
      <c r="AA4" s="10"/>
      <c r="AB4" s="10"/>
      <c r="AC4" s="10"/>
      <c r="AD4" s="10"/>
      <c r="AE4" s="10"/>
      <c r="AF4" s="1">
        <f t="shared" ref="AF4:AF32" si="0">SUM(D4:AE4)</f>
        <v>8</v>
      </c>
    </row>
    <row r="5" spans="1:32" x14ac:dyDescent="0.3">
      <c r="A5" s="2" t="s">
        <v>17</v>
      </c>
      <c r="B5" s="6" t="s">
        <v>92</v>
      </c>
      <c r="C5" s="15">
        <v>4.2699999999999996</v>
      </c>
      <c r="D5" s="1">
        <v>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>
        <v>150</v>
      </c>
      <c r="W5" s="2"/>
      <c r="X5" s="2"/>
      <c r="Y5" s="2"/>
      <c r="Z5" s="2"/>
      <c r="AA5" s="2"/>
      <c r="AB5" s="2"/>
      <c r="AC5" s="2">
        <v>-5</v>
      </c>
      <c r="AD5" s="2">
        <v>-6</v>
      </c>
      <c r="AE5" s="2"/>
      <c r="AF5" s="1">
        <f t="shared" si="0"/>
        <v>139</v>
      </c>
    </row>
    <row r="6" spans="1:32" x14ac:dyDescent="0.3">
      <c r="A6" s="2" t="s">
        <v>17</v>
      </c>
      <c r="B6" s="3" t="s">
        <v>51</v>
      </c>
      <c r="C6" s="13">
        <v>7.26</v>
      </c>
      <c r="D6" s="1">
        <v>49</v>
      </c>
      <c r="E6" s="2">
        <v>-3</v>
      </c>
      <c r="F6" s="2">
        <v>-23</v>
      </c>
      <c r="G6" s="2"/>
      <c r="H6" s="2"/>
      <c r="I6" s="2"/>
      <c r="J6" s="2"/>
      <c r="K6" s="2"/>
      <c r="L6" s="2"/>
      <c r="M6" s="2"/>
      <c r="N6" s="2"/>
      <c r="O6" s="2"/>
      <c r="P6" s="2">
        <v>-3</v>
      </c>
      <c r="Q6" s="2"/>
      <c r="R6" s="2">
        <v>-7</v>
      </c>
      <c r="S6" s="2"/>
      <c r="T6" s="2"/>
      <c r="U6" s="2"/>
      <c r="V6" s="2"/>
      <c r="W6" s="2"/>
      <c r="X6" s="2">
        <v>-4</v>
      </c>
      <c r="Y6" s="2"/>
      <c r="Z6" s="2"/>
      <c r="AA6" s="2">
        <v>-9</v>
      </c>
      <c r="AB6" s="2"/>
      <c r="AC6" s="2"/>
      <c r="AD6" s="2"/>
      <c r="AE6" s="2"/>
      <c r="AF6" s="1">
        <f t="shared" si="0"/>
        <v>0</v>
      </c>
    </row>
    <row r="7" spans="1:32" x14ac:dyDescent="0.3">
      <c r="A7" s="10" t="s">
        <v>6</v>
      </c>
      <c r="B7" s="12"/>
      <c r="C7" s="14"/>
      <c r="D7" s="10">
        <v>0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">
        <f t="shared" si="0"/>
        <v>0</v>
      </c>
    </row>
    <row r="8" spans="1:32" x14ac:dyDescent="0.3">
      <c r="A8" s="2" t="s">
        <v>6</v>
      </c>
      <c r="B8" s="7" t="s">
        <v>65</v>
      </c>
      <c r="C8" s="15">
        <v>3.27</v>
      </c>
      <c r="D8" s="1">
        <v>75</v>
      </c>
      <c r="E8" s="2">
        <v>-15</v>
      </c>
      <c r="F8" s="2"/>
      <c r="G8" s="2">
        <v>-1</v>
      </c>
      <c r="H8" s="2"/>
      <c r="I8" s="2"/>
      <c r="J8" s="2"/>
      <c r="K8" s="2">
        <v>-3</v>
      </c>
      <c r="L8" s="2"/>
      <c r="M8" s="2">
        <v>-5</v>
      </c>
      <c r="N8" s="2"/>
      <c r="O8" s="2"/>
      <c r="P8" s="2">
        <v>-13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>
        <v>-5</v>
      </c>
      <c r="AD8" s="2"/>
      <c r="AE8" s="2"/>
      <c r="AF8" s="1">
        <f t="shared" si="0"/>
        <v>33</v>
      </c>
    </row>
    <row r="9" spans="1:32" x14ac:dyDescent="0.3">
      <c r="A9" s="2" t="s">
        <v>93</v>
      </c>
      <c r="B9" s="7" t="s">
        <v>94</v>
      </c>
      <c r="C9" s="15">
        <v>3.27</v>
      </c>
      <c r="D9" s="1">
        <v>0</v>
      </c>
      <c r="E9" s="2"/>
      <c r="F9" s="2"/>
      <c r="G9" s="2"/>
      <c r="H9" s="2"/>
      <c r="I9" s="2"/>
      <c r="J9" s="2"/>
      <c r="K9" s="2"/>
      <c r="L9" s="2"/>
      <c r="M9" s="2"/>
      <c r="N9" s="2">
        <v>50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1">
        <f t="shared" si="0"/>
        <v>50</v>
      </c>
    </row>
    <row r="10" spans="1:32" x14ac:dyDescent="0.3">
      <c r="A10" s="2" t="s">
        <v>12</v>
      </c>
      <c r="B10" s="7" t="s">
        <v>95</v>
      </c>
      <c r="C10" s="15">
        <v>3.27</v>
      </c>
      <c r="D10" s="1">
        <v>0</v>
      </c>
      <c r="E10" s="2"/>
      <c r="F10" s="2"/>
      <c r="G10" s="2"/>
      <c r="H10" s="2"/>
      <c r="I10" s="2"/>
      <c r="J10" s="2"/>
      <c r="K10" s="2"/>
      <c r="L10" s="2"/>
      <c r="M10" s="2"/>
      <c r="N10" s="2">
        <v>10</v>
      </c>
      <c r="O10" s="2"/>
      <c r="P10" s="2">
        <v>-4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1">
        <f t="shared" si="0"/>
        <v>6</v>
      </c>
    </row>
    <row r="11" spans="1:32" x14ac:dyDescent="0.3">
      <c r="A11" s="2" t="s">
        <v>12</v>
      </c>
      <c r="B11" s="7" t="s">
        <v>67</v>
      </c>
      <c r="C11" s="15">
        <v>6.26</v>
      </c>
      <c r="D11" s="1">
        <v>21</v>
      </c>
      <c r="E11" s="2">
        <v>-4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>
        <v>-5</v>
      </c>
      <c r="T11" s="2"/>
      <c r="U11" s="2"/>
      <c r="V11" s="2"/>
      <c r="W11" s="2"/>
      <c r="X11" s="2">
        <v>-3</v>
      </c>
      <c r="Y11" s="2"/>
      <c r="Z11" s="2"/>
      <c r="AA11" s="2"/>
      <c r="AB11" s="2"/>
      <c r="AC11" s="2"/>
      <c r="AD11" s="2"/>
      <c r="AE11" s="2"/>
      <c r="AF11" s="1">
        <f t="shared" si="0"/>
        <v>9</v>
      </c>
    </row>
    <row r="12" spans="1:32" x14ac:dyDescent="0.3">
      <c r="A12" s="2" t="s">
        <v>24</v>
      </c>
      <c r="B12" s="8" t="s">
        <v>52</v>
      </c>
      <c r="C12" s="15">
        <v>7.26</v>
      </c>
      <c r="D12" s="1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1">
        <f t="shared" si="0"/>
        <v>1</v>
      </c>
    </row>
    <row r="13" spans="1:32" x14ac:dyDescent="0.3">
      <c r="A13" s="10" t="s">
        <v>68</v>
      </c>
      <c r="B13" s="11" t="s">
        <v>52</v>
      </c>
      <c r="C13" s="14">
        <v>7.26</v>
      </c>
      <c r="D13" s="10">
        <v>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>
        <v>6</v>
      </c>
      <c r="AA13" s="10"/>
      <c r="AB13" s="10"/>
      <c r="AC13" s="10"/>
      <c r="AD13" s="10"/>
      <c r="AE13" s="10"/>
      <c r="AF13" s="1">
        <f t="shared" si="0"/>
        <v>6</v>
      </c>
    </row>
    <row r="14" spans="1:32" x14ac:dyDescent="0.3">
      <c r="A14" s="10" t="s">
        <v>24</v>
      </c>
      <c r="B14" s="11" t="s">
        <v>69</v>
      </c>
      <c r="C14" s="14">
        <v>10.26</v>
      </c>
      <c r="D14" s="10">
        <v>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>
        <f t="shared" si="0"/>
        <v>2</v>
      </c>
    </row>
    <row r="15" spans="1:32" x14ac:dyDescent="0.3">
      <c r="A15" s="2" t="s">
        <v>24</v>
      </c>
      <c r="B15" s="8" t="s">
        <v>76</v>
      </c>
      <c r="C15" s="15" t="s">
        <v>77</v>
      </c>
      <c r="D15" s="1">
        <v>87</v>
      </c>
      <c r="E15" s="2">
        <v>-7</v>
      </c>
      <c r="F15" s="2">
        <v>-4</v>
      </c>
      <c r="G15" s="2"/>
      <c r="H15" s="2">
        <v>-7</v>
      </c>
      <c r="I15" s="2">
        <v>-9</v>
      </c>
      <c r="J15" s="2">
        <v>-3</v>
      </c>
      <c r="K15" s="2">
        <v>-1</v>
      </c>
      <c r="L15" s="2"/>
      <c r="M15" s="2">
        <v>-10</v>
      </c>
      <c r="N15" s="2"/>
      <c r="O15" s="2"/>
      <c r="P15" s="2">
        <v>-3</v>
      </c>
      <c r="Q15" s="2"/>
      <c r="R15" s="2"/>
      <c r="S15" s="2"/>
      <c r="T15" s="2"/>
      <c r="U15" s="2">
        <v>-3</v>
      </c>
      <c r="V15" s="2">
        <v>100</v>
      </c>
      <c r="W15" s="2">
        <v>-1</v>
      </c>
      <c r="X15" s="2">
        <v>-2</v>
      </c>
      <c r="Y15" s="2"/>
      <c r="Z15" s="2"/>
      <c r="AA15" s="2"/>
      <c r="AB15" s="2">
        <v>-8</v>
      </c>
      <c r="AC15" s="2">
        <v>-3</v>
      </c>
      <c r="AD15" s="2">
        <v>-12</v>
      </c>
      <c r="AE15" s="2"/>
      <c r="AF15" s="1">
        <f t="shared" si="0"/>
        <v>114</v>
      </c>
    </row>
    <row r="16" spans="1:32" x14ac:dyDescent="0.3">
      <c r="A16" s="2" t="s">
        <v>24</v>
      </c>
      <c r="B16" s="8" t="s">
        <v>78</v>
      </c>
      <c r="C16" s="15" t="s">
        <v>79</v>
      </c>
      <c r="D16" s="1">
        <v>1</v>
      </c>
      <c r="E16" s="2"/>
      <c r="F16" s="2"/>
      <c r="G16" s="2"/>
      <c r="H16" s="2"/>
      <c r="I16" s="2"/>
      <c r="J16" s="2"/>
      <c r="K16" s="2"/>
      <c r="L16" s="2"/>
      <c r="M16" s="2">
        <v>-1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1">
        <f t="shared" si="0"/>
        <v>0</v>
      </c>
    </row>
    <row r="17" spans="1:32" x14ac:dyDescent="0.3">
      <c r="A17" s="2" t="s">
        <v>30</v>
      </c>
      <c r="B17" s="8" t="s">
        <v>80</v>
      </c>
      <c r="C17" s="15">
        <v>2.2799999999999998</v>
      </c>
      <c r="D17" s="1">
        <v>20</v>
      </c>
      <c r="E17" s="2">
        <v>-4</v>
      </c>
      <c r="F17" s="2">
        <v>-6</v>
      </c>
      <c r="G17" s="2"/>
      <c r="H17" s="2">
        <v>-3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V17" s="2"/>
      <c r="W17" s="2"/>
      <c r="X17" s="2">
        <v>-5</v>
      </c>
      <c r="Y17" s="2"/>
      <c r="Z17" s="2"/>
      <c r="AA17" s="2"/>
      <c r="AB17" s="2"/>
      <c r="AC17" s="2"/>
      <c r="AD17" s="2"/>
      <c r="AE17" s="2"/>
      <c r="AF17" s="1">
        <f t="shared" si="0"/>
        <v>2</v>
      </c>
    </row>
    <row r="18" spans="1:32" x14ac:dyDescent="0.3">
      <c r="A18" s="2" t="s">
        <v>30</v>
      </c>
      <c r="B18" s="8" t="s">
        <v>96</v>
      </c>
      <c r="C18" s="15">
        <v>7.28</v>
      </c>
      <c r="D18" s="1">
        <v>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>
        <v>30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>
        <v>-14</v>
      </c>
      <c r="AD18" s="2"/>
      <c r="AE18" s="2"/>
      <c r="AF18" s="1">
        <f t="shared" si="0"/>
        <v>16</v>
      </c>
    </row>
    <row r="19" spans="1:32" x14ac:dyDescent="0.3">
      <c r="A19" s="2" t="s">
        <v>30</v>
      </c>
      <c r="B19" s="8" t="s">
        <v>72</v>
      </c>
      <c r="C19" s="15">
        <v>11.27</v>
      </c>
      <c r="D19" s="1">
        <v>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1">
        <f t="shared" si="0"/>
        <v>0</v>
      </c>
    </row>
    <row r="20" spans="1:32" x14ac:dyDescent="0.3">
      <c r="A20" s="2" t="s">
        <v>30</v>
      </c>
      <c r="B20" s="8" t="s">
        <v>81</v>
      </c>
      <c r="C20" s="15">
        <v>10.28</v>
      </c>
      <c r="D20" s="1">
        <v>30</v>
      </c>
      <c r="E20" s="2"/>
      <c r="F20" s="2"/>
      <c r="G20" s="2"/>
      <c r="H20" s="2"/>
      <c r="I20" s="2">
        <v>-15</v>
      </c>
      <c r="J20" s="2"/>
      <c r="K20" s="2"/>
      <c r="L20" s="2"/>
      <c r="M20" s="2"/>
      <c r="N20" s="2"/>
      <c r="O20" s="2"/>
      <c r="P20" s="2">
        <v>-9</v>
      </c>
      <c r="Q20" s="2"/>
      <c r="R20" s="2"/>
      <c r="S20" s="2"/>
      <c r="T20" s="2"/>
      <c r="U20" s="2"/>
      <c r="V20" s="2"/>
      <c r="W20" s="2">
        <v>-1</v>
      </c>
      <c r="X20" s="2">
        <v>-4</v>
      </c>
      <c r="Y20" s="2">
        <v>-1</v>
      </c>
      <c r="Z20" s="2"/>
      <c r="AA20" s="2"/>
      <c r="AB20" s="2"/>
      <c r="AC20" s="2"/>
      <c r="AD20" s="2"/>
      <c r="AE20" s="2"/>
      <c r="AF20" s="1">
        <f t="shared" si="0"/>
        <v>0</v>
      </c>
    </row>
    <row r="21" spans="1:32" x14ac:dyDescent="0.3">
      <c r="A21" s="2" t="s">
        <v>55</v>
      </c>
      <c r="B21" s="8" t="s">
        <v>56</v>
      </c>
      <c r="C21" s="15">
        <v>4.2699999999999996</v>
      </c>
      <c r="D21" s="1">
        <v>17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>
        <v>-1</v>
      </c>
      <c r="AE21" s="2"/>
      <c r="AF21" s="1">
        <f t="shared" si="0"/>
        <v>16</v>
      </c>
    </row>
    <row r="22" spans="1:32" x14ac:dyDescent="0.3">
      <c r="A22" s="2" t="s">
        <v>57</v>
      </c>
      <c r="B22" s="8" t="s">
        <v>58</v>
      </c>
      <c r="C22" s="15">
        <v>5.27</v>
      </c>
      <c r="D22" s="1">
        <v>17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1">
        <f t="shared" si="0"/>
        <v>17</v>
      </c>
    </row>
    <row r="23" spans="1:32" x14ac:dyDescent="0.3">
      <c r="A23" s="10" t="s">
        <v>82</v>
      </c>
      <c r="B23" s="11"/>
      <c r="C23" s="14"/>
      <c r="D23" s="10">
        <v>1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">
        <f t="shared" si="0"/>
        <v>1</v>
      </c>
    </row>
    <row r="24" spans="1:32" x14ac:dyDescent="0.3">
      <c r="A24" s="10" t="s">
        <v>33</v>
      </c>
      <c r="B24" s="11"/>
      <c r="C24" s="14"/>
      <c r="D24" s="10">
        <v>2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">
        <f t="shared" si="0"/>
        <v>2</v>
      </c>
    </row>
    <row r="25" spans="1:32" x14ac:dyDescent="0.3">
      <c r="A25" s="2" t="s">
        <v>33</v>
      </c>
      <c r="B25" s="8" t="s">
        <v>74</v>
      </c>
      <c r="C25" s="15">
        <v>2.27</v>
      </c>
      <c r="D25" s="1">
        <v>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1">
        <f t="shared" si="0"/>
        <v>6</v>
      </c>
    </row>
    <row r="26" spans="1:32" x14ac:dyDescent="0.3">
      <c r="A26" s="2" t="s">
        <v>33</v>
      </c>
      <c r="B26" s="8" t="s">
        <v>83</v>
      </c>
      <c r="C26" s="15">
        <v>12.26</v>
      </c>
      <c r="D26" s="1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1">
        <f t="shared" si="0"/>
        <v>10</v>
      </c>
    </row>
    <row r="27" spans="1:32" x14ac:dyDescent="0.3">
      <c r="A27" s="2" t="s">
        <v>84</v>
      </c>
      <c r="B27" s="8" t="s">
        <v>85</v>
      </c>
      <c r="C27" s="15">
        <v>6.2027000000000001</v>
      </c>
      <c r="D27" s="1">
        <v>10</v>
      </c>
      <c r="E27" s="2"/>
      <c r="F27" s="2"/>
      <c r="G27" s="2"/>
      <c r="H27" s="2"/>
      <c r="I27" s="2"/>
      <c r="J27" s="2">
        <v>-3</v>
      </c>
      <c r="K27" s="2">
        <v>-2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>
        <v>-1</v>
      </c>
      <c r="AE27" s="2"/>
      <c r="AF27" s="1">
        <f t="shared" si="0"/>
        <v>4</v>
      </c>
    </row>
    <row r="28" spans="1:32" x14ac:dyDescent="0.3">
      <c r="A28" s="2" t="s">
        <v>33</v>
      </c>
      <c r="B28" s="8" t="s">
        <v>35</v>
      </c>
      <c r="C28" s="15">
        <v>9.26</v>
      </c>
      <c r="D28" s="1">
        <v>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1">
        <f t="shared" si="0"/>
        <v>3</v>
      </c>
    </row>
    <row r="29" spans="1:32" x14ac:dyDescent="0.3">
      <c r="A29" s="2" t="s">
        <v>37</v>
      </c>
      <c r="B29" s="6" t="s">
        <v>38</v>
      </c>
      <c r="C29" s="15">
        <v>8.26</v>
      </c>
      <c r="D29" s="1">
        <v>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1">
        <f t="shared" si="0"/>
        <v>3</v>
      </c>
    </row>
    <row r="30" spans="1:32" x14ac:dyDescent="0.3">
      <c r="A30" s="2" t="s">
        <v>86</v>
      </c>
      <c r="B30" s="6" t="s">
        <v>87</v>
      </c>
      <c r="C30" s="15"/>
      <c r="D30" s="1">
        <v>2</v>
      </c>
      <c r="E30" s="2">
        <v>-2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>
        <v>10</v>
      </c>
      <c r="U30" s="2"/>
      <c r="V30" s="2"/>
      <c r="W30" s="2"/>
      <c r="X30" s="2"/>
      <c r="Y30" s="2"/>
      <c r="Z30" s="2"/>
      <c r="AA30" s="2">
        <v>-1</v>
      </c>
      <c r="AB30" s="2"/>
      <c r="AC30" s="2"/>
      <c r="AD30" s="2"/>
      <c r="AE30" s="2"/>
      <c r="AF30" s="1">
        <f t="shared" si="0"/>
        <v>9</v>
      </c>
    </row>
    <row r="31" spans="1:32" x14ac:dyDescent="0.3">
      <c r="A31" s="2" t="s">
        <v>88</v>
      </c>
      <c r="B31" s="6" t="s">
        <v>89</v>
      </c>
      <c r="C31" s="15">
        <v>6.27</v>
      </c>
      <c r="D31" s="1">
        <v>13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>
        <v>-1</v>
      </c>
      <c r="AC31" s="2"/>
      <c r="AD31" s="2"/>
      <c r="AE31" s="2"/>
      <c r="AF31" s="1">
        <f t="shared" si="0"/>
        <v>12</v>
      </c>
    </row>
    <row r="32" spans="1:32" x14ac:dyDescent="0.3">
      <c r="A32" s="1" t="s">
        <v>39</v>
      </c>
      <c r="B32" s="1"/>
      <c r="C32" s="16"/>
      <c r="D32" s="1">
        <v>472</v>
      </c>
      <c r="E32" s="1">
        <f>SUM(E3:E31)</f>
        <v>-35</v>
      </c>
      <c r="F32" s="1">
        <f t="shared" ref="F32:AE32" si="1">SUM(F3:F31)</f>
        <v>-33</v>
      </c>
      <c r="G32" s="1">
        <f t="shared" si="1"/>
        <v>-1</v>
      </c>
      <c r="H32" s="1">
        <f t="shared" si="1"/>
        <v>-10</v>
      </c>
      <c r="I32" s="1">
        <f t="shared" si="1"/>
        <v>-24</v>
      </c>
      <c r="J32" s="1">
        <f t="shared" si="1"/>
        <v>-17</v>
      </c>
      <c r="K32" s="1">
        <f t="shared" si="1"/>
        <v>-16</v>
      </c>
      <c r="L32" s="1">
        <f t="shared" si="1"/>
        <v>3</v>
      </c>
      <c r="M32" s="1">
        <f t="shared" si="1"/>
        <v>-16</v>
      </c>
      <c r="N32" s="1">
        <f t="shared" si="1"/>
        <v>60</v>
      </c>
      <c r="O32" s="1">
        <f t="shared" si="1"/>
        <v>-10</v>
      </c>
      <c r="P32" s="1">
        <f t="shared" si="1"/>
        <v>-36</v>
      </c>
      <c r="Q32" s="1">
        <f t="shared" si="1"/>
        <v>30</v>
      </c>
      <c r="R32" s="1">
        <f t="shared" si="1"/>
        <v>-7</v>
      </c>
      <c r="S32" s="1">
        <f t="shared" si="1"/>
        <v>-5</v>
      </c>
      <c r="T32" s="1">
        <f t="shared" si="1"/>
        <v>10</v>
      </c>
      <c r="U32" s="1">
        <f t="shared" si="1"/>
        <v>-3</v>
      </c>
      <c r="V32" s="1">
        <f t="shared" si="1"/>
        <v>250</v>
      </c>
      <c r="W32" s="1">
        <f t="shared" si="1"/>
        <v>-4</v>
      </c>
      <c r="X32" s="1">
        <f t="shared" si="1"/>
        <v>-31</v>
      </c>
      <c r="Y32" s="1">
        <f t="shared" si="1"/>
        <v>-5</v>
      </c>
      <c r="Z32" s="1">
        <f t="shared" si="1"/>
        <v>11</v>
      </c>
      <c r="AA32" s="1">
        <f t="shared" si="1"/>
        <v>-12</v>
      </c>
      <c r="AB32" s="1">
        <f t="shared" si="1"/>
        <v>-10</v>
      </c>
      <c r="AC32" s="1">
        <f t="shared" si="1"/>
        <v>-27</v>
      </c>
      <c r="AD32" s="1">
        <f t="shared" si="1"/>
        <v>-20</v>
      </c>
      <c r="AE32" s="1">
        <f t="shared" si="1"/>
        <v>0</v>
      </c>
      <c r="AF32" s="1">
        <f t="shared" si="0"/>
        <v>514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A9DA2-7BC9-45A2-B178-E63CDA3FC14E}">
  <sheetPr>
    <tabColor rgb="FFFF0000"/>
  </sheetPr>
  <dimension ref="A1:AE33"/>
  <sheetViews>
    <sheetView topLeftCell="D1" workbookViewId="0">
      <selection activeCell="D19" sqref="A19:XFD19"/>
    </sheetView>
  </sheetViews>
  <sheetFormatPr defaultRowHeight="14.4" x14ac:dyDescent="0.3"/>
  <cols>
    <col min="1" max="1" width="22.33203125" bestFit="1" customWidth="1"/>
    <col min="2" max="2" width="9.44140625" bestFit="1" customWidth="1"/>
    <col min="6" max="30" width="8.88671875" customWidth="1"/>
  </cols>
  <sheetData>
    <row r="1" spans="1:31" x14ac:dyDescent="0.3">
      <c r="A1" s="43" t="s">
        <v>97</v>
      </c>
      <c r="B1" s="43"/>
      <c r="C1" s="43"/>
      <c r="D1" s="1"/>
      <c r="E1" s="9">
        <v>37073</v>
      </c>
      <c r="F1" s="9">
        <v>37073</v>
      </c>
      <c r="G1" s="9">
        <v>37438</v>
      </c>
      <c r="H1" s="9">
        <v>38169</v>
      </c>
      <c r="I1" s="9">
        <v>38169</v>
      </c>
      <c r="J1" s="9">
        <v>39264</v>
      </c>
      <c r="K1" s="9">
        <v>39630</v>
      </c>
      <c r="L1" s="9">
        <v>39995</v>
      </c>
      <c r="M1" s="9">
        <v>40360</v>
      </c>
      <c r="N1" s="9">
        <v>40360</v>
      </c>
      <c r="O1" s="9">
        <v>40725</v>
      </c>
      <c r="P1" s="9">
        <v>41821</v>
      </c>
      <c r="Q1" s="9">
        <v>42186</v>
      </c>
      <c r="R1" s="9">
        <v>42552</v>
      </c>
      <c r="S1" s="9">
        <v>42917</v>
      </c>
      <c r="T1" s="9">
        <v>43282</v>
      </c>
      <c r="U1" s="9">
        <v>44378</v>
      </c>
      <c r="V1" s="9">
        <v>44743</v>
      </c>
      <c r="W1" s="9">
        <v>45108</v>
      </c>
      <c r="X1" s="9">
        <v>45108</v>
      </c>
      <c r="Y1" s="9">
        <v>45839</v>
      </c>
      <c r="Z1" s="9">
        <v>45839</v>
      </c>
      <c r="AA1" s="9">
        <v>46935</v>
      </c>
      <c r="AB1" s="9">
        <v>47300</v>
      </c>
      <c r="AC1" s="9">
        <v>11140</v>
      </c>
      <c r="AD1" s="9">
        <v>11505</v>
      </c>
      <c r="AE1" s="1"/>
    </row>
    <row r="2" spans="1:31" ht="13.95" customHeight="1" x14ac:dyDescent="0.3">
      <c r="A2" s="1" t="s">
        <v>1</v>
      </c>
      <c r="B2" s="1" t="s">
        <v>2</v>
      </c>
      <c r="C2" s="1" t="s">
        <v>3</v>
      </c>
      <c r="D2" s="1"/>
      <c r="E2" s="1"/>
      <c r="F2" s="1" t="s">
        <v>5</v>
      </c>
      <c r="G2" s="1"/>
      <c r="H2" s="1"/>
      <c r="I2" s="19" t="s">
        <v>98</v>
      </c>
      <c r="J2" s="1"/>
      <c r="K2" s="1"/>
      <c r="L2" s="1"/>
      <c r="M2" s="1"/>
      <c r="N2" s="19" t="s">
        <v>98</v>
      </c>
      <c r="O2" s="1"/>
      <c r="P2" s="1"/>
      <c r="Q2" s="1"/>
      <c r="R2" s="1"/>
      <c r="S2" s="1"/>
      <c r="T2" s="1"/>
      <c r="U2" s="1"/>
      <c r="V2" s="1"/>
      <c r="W2" s="1"/>
      <c r="X2" s="1" t="s">
        <v>5</v>
      </c>
      <c r="Y2" s="1"/>
      <c r="Z2" s="1" t="s">
        <v>5</v>
      </c>
      <c r="AA2" s="1"/>
      <c r="AB2" s="1"/>
      <c r="AC2" s="1"/>
      <c r="AD2" s="1"/>
      <c r="AE2" s="1"/>
    </row>
    <row r="3" spans="1:31" x14ac:dyDescent="0.3">
      <c r="A3" s="2" t="s">
        <v>17</v>
      </c>
      <c r="B3" s="3" t="s">
        <v>62</v>
      </c>
      <c r="C3" s="13">
        <v>1.27</v>
      </c>
      <c r="D3" s="1">
        <v>2</v>
      </c>
      <c r="E3" s="2"/>
      <c r="F3" s="2"/>
      <c r="G3" s="2"/>
      <c r="H3" s="2"/>
      <c r="I3" s="2"/>
      <c r="J3" s="2"/>
      <c r="K3" s="2">
        <v>-2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1">
        <f>SUM(D3:AD3)</f>
        <v>0</v>
      </c>
    </row>
    <row r="4" spans="1:31" ht="18" customHeight="1" x14ac:dyDescent="0.3">
      <c r="A4" s="10" t="s">
        <v>64</v>
      </c>
      <c r="B4" s="12"/>
      <c r="C4" s="14"/>
      <c r="D4" s="10">
        <v>8</v>
      </c>
      <c r="E4" s="10"/>
      <c r="F4" s="10"/>
      <c r="G4" s="10"/>
      <c r="H4" s="10"/>
      <c r="I4" s="10">
        <v>4</v>
      </c>
      <c r="J4" s="10"/>
      <c r="K4" s="10"/>
      <c r="L4" s="10"/>
      <c r="M4" s="10"/>
      <c r="N4" s="10"/>
      <c r="O4" s="10"/>
      <c r="P4" s="10"/>
      <c r="Q4" s="10">
        <v>-3</v>
      </c>
      <c r="R4" s="10">
        <v>-9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">
        <f t="shared" ref="AE4:AE33" si="0">SUM(D4:AD4)</f>
        <v>0</v>
      </c>
    </row>
    <row r="5" spans="1:31" x14ac:dyDescent="0.3">
      <c r="A5" s="2" t="s">
        <v>17</v>
      </c>
      <c r="B5" s="6" t="s">
        <v>92</v>
      </c>
      <c r="C5" s="15">
        <v>4.2699999999999996</v>
      </c>
      <c r="D5" s="1">
        <v>139</v>
      </c>
      <c r="E5" s="2">
        <v>-6</v>
      </c>
      <c r="F5" s="2"/>
      <c r="G5" s="2"/>
      <c r="H5" s="2">
        <v>-4</v>
      </c>
      <c r="I5" s="2"/>
      <c r="J5" s="2"/>
      <c r="K5" s="2">
        <v>-7</v>
      </c>
      <c r="L5" s="2">
        <v>-7</v>
      </c>
      <c r="M5" s="2">
        <v>-12</v>
      </c>
      <c r="N5" s="2"/>
      <c r="O5" s="2">
        <v>-12</v>
      </c>
      <c r="P5" s="2">
        <v>-14</v>
      </c>
      <c r="Q5" s="2"/>
      <c r="R5" s="2">
        <v>-6</v>
      </c>
      <c r="S5" s="2">
        <v>-7</v>
      </c>
      <c r="T5" s="2">
        <v>-18</v>
      </c>
      <c r="U5" s="2"/>
      <c r="V5" s="2">
        <v>-4</v>
      </c>
      <c r="W5" s="2"/>
      <c r="X5" s="2"/>
      <c r="Y5" s="2">
        <v>-3</v>
      </c>
      <c r="Z5" s="2">
        <v>30</v>
      </c>
      <c r="AA5" s="2">
        <v>-10</v>
      </c>
      <c r="AB5" s="2">
        <v>-8</v>
      </c>
      <c r="AC5" s="2"/>
      <c r="AD5" s="2">
        <v>-2</v>
      </c>
      <c r="AE5" s="1">
        <f t="shared" si="0"/>
        <v>49</v>
      </c>
    </row>
    <row r="6" spans="1:31" x14ac:dyDescent="0.3">
      <c r="A6" s="2" t="s">
        <v>17</v>
      </c>
      <c r="B6" s="3" t="s">
        <v>51</v>
      </c>
      <c r="C6" s="13">
        <v>7.26</v>
      </c>
      <c r="D6" s="1">
        <v>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1">
        <f t="shared" si="0"/>
        <v>0</v>
      </c>
    </row>
    <row r="7" spans="1:31" x14ac:dyDescent="0.3">
      <c r="A7" s="10" t="s">
        <v>99</v>
      </c>
      <c r="B7" s="12"/>
      <c r="C7" s="14"/>
      <c r="D7" s="10">
        <v>0</v>
      </c>
      <c r="E7" s="10"/>
      <c r="F7" s="10"/>
      <c r="G7" s="10"/>
      <c r="H7" s="10"/>
      <c r="I7" s="10">
        <v>8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-3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">
        <f t="shared" si="0"/>
        <v>5</v>
      </c>
    </row>
    <row r="8" spans="1:31" x14ac:dyDescent="0.3">
      <c r="A8" s="2" t="s">
        <v>6</v>
      </c>
      <c r="B8" s="7" t="s">
        <v>65</v>
      </c>
      <c r="C8" s="15">
        <v>3.27</v>
      </c>
      <c r="D8" s="1">
        <v>33</v>
      </c>
      <c r="E8" s="2"/>
      <c r="F8" s="2"/>
      <c r="G8" s="2">
        <v>-2</v>
      </c>
      <c r="H8" s="2">
        <v>-10</v>
      </c>
      <c r="I8" s="2"/>
      <c r="J8" s="2"/>
      <c r="K8" s="2">
        <v>-3</v>
      </c>
      <c r="L8" s="2"/>
      <c r="M8" s="2"/>
      <c r="N8" s="2"/>
      <c r="O8" s="2"/>
      <c r="P8" s="2">
        <v>-3</v>
      </c>
      <c r="Q8" s="2"/>
      <c r="R8" s="2"/>
      <c r="S8" s="2"/>
      <c r="T8" s="2">
        <v>-1</v>
      </c>
      <c r="U8" s="2"/>
      <c r="V8" s="2"/>
      <c r="W8" s="2"/>
      <c r="X8" s="2"/>
      <c r="Y8" s="2"/>
      <c r="Z8" s="2"/>
      <c r="AA8" s="2"/>
      <c r="AB8" s="2">
        <v>-1</v>
      </c>
      <c r="AC8" s="2">
        <v>-10</v>
      </c>
      <c r="AD8" s="2"/>
      <c r="AE8" s="1">
        <f t="shared" si="0"/>
        <v>3</v>
      </c>
    </row>
    <row r="9" spans="1:31" x14ac:dyDescent="0.3">
      <c r="A9" s="2" t="s">
        <v>6</v>
      </c>
      <c r="B9" s="7" t="s">
        <v>100</v>
      </c>
      <c r="C9" s="15" t="s">
        <v>101</v>
      </c>
      <c r="D9" s="1">
        <v>0</v>
      </c>
      <c r="E9" s="2"/>
      <c r="F9" s="2">
        <v>30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1">
        <f t="shared" si="0"/>
        <v>30</v>
      </c>
    </row>
    <row r="10" spans="1:31" x14ac:dyDescent="0.3">
      <c r="A10" s="2" t="s">
        <v>93</v>
      </c>
      <c r="B10" s="7" t="s">
        <v>94</v>
      </c>
      <c r="C10" s="15">
        <v>3.27</v>
      </c>
      <c r="D10" s="1">
        <v>50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1">
        <f t="shared" si="0"/>
        <v>50</v>
      </c>
    </row>
    <row r="11" spans="1:31" x14ac:dyDescent="0.3">
      <c r="A11" s="2" t="s">
        <v>12</v>
      </c>
      <c r="B11" s="7" t="s">
        <v>95</v>
      </c>
      <c r="C11" s="15">
        <v>3.27</v>
      </c>
      <c r="D11" s="1">
        <v>6</v>
      </c>
      <c r="E11" s="2"/>
      <c r="F11" s="2">
        <v>10</v>
      </c>
      <c r="G11" s="2"/>
      <c r="H11" s="2"/>
      <c r="I11" s="2"/>
      <c r="J11" s="2"/>
      <c r="K11" s="2"/>
      <c r="L11" s="2">
        <v>-4</v>
      </c>
      <c r="M11" s="2"/>
      <c r="N11" s="2"/>
      <c r="O11" s="2"/>
      <c r="P11" s="2">
        <v>-2</v>
      </c>
      <c r="Q11" s="2"/>
      <c r="R11" s="2"/>
      <c r="S11" s="2"/>
      <c r="T11" s="2"/>
      <c r="U11" s="2"/>
      <c r="V11" s="2"/>
      <c r="W11" s="2"/>
      <c r="X11" s="2"/>
      <c r="Y11" s="2">
        <v>-2</v>
      </c>
      <c r="Z11" s="2"/>
      <c r="AA11" s="2"/>
      <c r="AB11" s="2">
        <v>-2</v>
      </c>
      <c r="AC11" s="2"/>
      <c r="AD11" s="2"/>
      <c r="AE11" s="1">
        <f t="shared" si="0"/>
        <v>6</v>
      </c>
    </row>
    <row r="12" spans="1:31" x14ac:dyDescent="0.3">
      <c r="A12" s="2" t="s">
        <v>12</v>
      </c>
      <c r="B12" s="7" t="s">
        <v>67</v>
      </c>
      <c r="C12" s="15">
        <v>6.26</v>
      </c>
      <c r="D12" s="1">
        <v>9</v>
      </c>
      <c r="E12" s="2"/>
      <c r="F12" s="2"/>
      <c r="G12" s="2"/>
      <c r="H12" s="2">
        <v>-2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>
        <v>-2</v>
      </c>
      <c r="U12" s="2"/>
      <c r="V12" s="2"/>
      <c r="W12" s="2"/>
      <c r="X12" s="2"/>
      <c r="Y12" s="2">
        <v>-4</v>
      </c>
      <c r="Z12" s="2"/>
      <c r="AA12" s="2"/>
      <c r="AB12" s="2"/>
      <c r="AC12" s="2"/>
      <c r="AD12" s="2"/>
      <c r="AE12" s="1">
        <f t="shared" si="0"/>
        <v>1</v>
      </c>
    </row>
    <row r="13" spans="1:31" x14ac:dyDescent="0.3">
      <c r="A13" s="2" t="s">
        <v>24</v>
      </c>
      <c r="B13" s="8" t="s">
        <v>52</v>
      </c>
      <c r="C13" s="15">
        <v>7.26</v>
      </c>
      <c r="D13" s="1">
        <v>1</v>
      </c>
      <c r="E13" s="2">
        <v>-1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1">
        <f t="shared" si="0"/>
        <v>0</v>
      </c>
    </row>
    <row r="14" spans="1:31" x14ac:dyDescent="0.3">
      <c r="A14" s="10" t="s">
        <v>68</v>
      </c>
      <c r="B14" s="11"/>
      <c r="C14" s="14">
        <v>7.26</v>
      </c>
      <c r="D14" s="10">
        <v>6</v>
      </c>
      <c r="E14" s="10"/>
      <c r="F14" s="10"/>
      <c r="G14" s="10"/>
      <c r="H14" s="10"/>
      <c r="I14" s="10">
        <v>4</v>
      </c>
      <c r="J14" s="10"/>
      <c r="K14" s="10"/>
      <c r="L14" s="10"/>
      <c r="M14" s="10"/>
      <c r="N14" s="10">
        <v>4</v>
      </c>
      <c r="O14" s="10"/>
      <c r="P14" s="10"/>
      <c r="Q14" s="10"/>
      <c r="R14" s="10">
        <v>-11</v>
      </c>
      <c r="S14" s="10"/>
      <c r="T14" s="10"/>
      <c r="U14" s="10">
        <v>-3</v>
      </c>
      <c r="V14" s="10"/>
      <c r="W14" s="10"/>
      <c r="X14" s="10"/>
      <c r="Y14" s="10"/>
      <c r="Z14" s="10"/>
      <c r="AA14" s="10"/>
      <c r="AB14" s="10"/>
      <c r="AC14" s="10"/>
      <c r="AD14" s="10"/>
      <c r="AE14" s="1">
        <f t="shared" si="0"/>
        <v>0</v>
      </c>
    </row>
    <row r="15" spans="1:31" x14ac:dyDescent="0.3">
      <c r="A15" s="10" t="s">
        <v>68</v>
      </c>
      <c r="B15" s="11" t="s">
        <v>69</v>
      </c>
      <c r="C15" s="14">
        <v>10.26</v>
      </c>
      <c r="D15" s="10">
        <v>2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>
        <v>-2</v>
      </c>
      <c r="Z15" s="10"/>
      <c r="AA15" s="10"/>
      <c r="AB15" s="10"/>
      <c r="AC15" s="10"/>
      <c r="AD15" s="10"/>
      <c r="AE15" s="1">
        <f t="shared" si="0"/>
        <v>0</v>
      </c>
    </row>
    <row r="16" spans="1:31" x14ac:dyDescent="0.3">
      <c r="A16" s="2" t="s">
        <v>24</v>
      </c>
      <c r="B16" s="8" t="s">
        <v>102</v>
      </c>
      <c r="C16" s="15">
        <v>2.2027000000000001</v>
      </c>
      <c r="D16" s="2">
        <v>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v>50</v>
      </c>
      <c r="AA16" s="2"/>
      <c r="AB16" s="2"/>
      <c r="AC16" s="2"/>
      <c r="AD16" s="2"/>
      <c r="AE16" s="1">
        <f t="shared" si="0"/>
        <v>50</v>
      </c>
    </row>
    <row r="17" spans="1:31" x14ac:dyDescent="0.3">
      <c r="A17" s="2" t="s">
        <v>24</v>
      </c>
      <c r="B17" s="8" t="s">
        <v>76</v>
      </c>
      <c r="C17" s="15" t="s">
        <v>77</v>
      </c>
      <c r="D17" s="1">
        <v>114</v>
      </c>
      <c r="E17" s="2">
        <v>-11</v>
      </c>
      <c r="F17" s="2"/>
      <c r="G17" s="2">
        <v>-8</v>
      </c>
      <c r="H17" s="2">
        <v>-3</v>
      </c>
      <c r="I17" s="2"/>
      <c r="J17" s="2">
        <v>-3</v>
      </c>
      <c r="K17" s="2"/>
      <c r="L17" s="2">
        <v>-7</v>
      </c>
      <c r="M17" s="2">
        <v>-3</v>
      </c>
      <c r="N17" s="2"/>
      <c r="O17" s="2"/>
      <c r="P17" s="2">
        <v>-3</v>
      </c>
      <c r="Q17" s="2"/>
      <c r="R17" s="2"/>
      <c r="S17" s="2"/>
      <c r="T17" s="2"/>
      <c r="U17" s="2">
        <v>-8</v>
      </c>
      <c r="V17" s="2">
        <v>-3</v>
      </c>
      <c r="W17" s="2">
        <v>-4</v>
      </c>
      <c r="X17" s="2"/>
      <c r="Y17" s="2">
        <v>-1</v>
      </c>
      <c r="Z17" s="2"/>
      <c r="AA17" s="2"/>
      <c r="AB17" s="2"/>
      <c r="AC17" s="2">
        <v>-1</v>
      </c>
      <c r="AD17" s="2">
        <v>-10</v>
      </c>
      <c r="AE17" s="1">
        <f t="shared" si="0"/>
        <v>49</v>
      </c>
    </row>
    <row r="18" spans="1:31" x14ac:dyDescent="0.3">
      <c r="A18" s="2" t="s">
        <v>30</v>
      </c>
      <c r="B18" s="8" t="s">
        <v>80</v>
      </c>
      <c r="C18" s="15">
        <v>2.2799999999999998</v>
      </c>
      <c r="D18" s="1">
        <v>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>
        <v>-2</v>
      </c>
      <c r="X18" s="2"/>
      <c r="Y18" s="2"/>
      <c r="Z18" s="2"/>
      <c r="AA18" s="2"/>
      <c r="AB18" s="2"/>
      <c r="AC18" s="2"/>
      <c r="AD18" s="2"/>
      <c r="AE18" s="1">
        <f t="shared" si="0"/>
        <v>0</v>
      </c>
    </row>
    <row r="19" spans="1:31" x14ac:dyDescent="0.3">
      <c r="A19" s="2" t="s">
        <v>30</v>
      </c>
      <c r="B19" s="8" t="s">
        <v>81</v>
      </c>
      <c r="C19" s="15" t="s">
        <v>103</v>
      </c>
      <c r="D19" s="1">
        <v>0</v>
      </c>
      <c r="E19" s="2"/>
      <c r="F19" s="2">
        <v>30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>
        <v>-1</v>
      </c>
      <c r="U19" s="2">
        <v>-4</v>
      </c>
      <c r="V19" s="2">
        <v>-4</v>
      </c>
      <c r="W19" s="2"/>
      <c r="X19" s="2">
        <v>30</v>
      </c>
      <c r="Y19" s="2">
        <v>-10</v>
      </c>
      <c r="Z19" s="2"/>
      <c r="AA19" s="2"/>
      <c r="AB19" s="2">
        <v>-1</v>
      </c>
      <c r="AC19" s="2"/>
      <c r="AD19" s="2"/>
      <c r="AE19" s="1">
        <f t="shared" si="0"/>
        <v>40</v>
      </c>
    </row>
    <row r="20" spans="1:31" x14ac:dyDescent="0.3">
      <c r="A20" s="2" t="s">
        <v>30</v>
      </c>
      <c r="B20" s="8" t="s">
        <v>96</v>
      </c>
      <c r="C20" s="15">
        <v>7.28</v>
      </c>
      <c r="D20" s="1">
        <v>16</v>
      </c>
      <c r="E20" s="2">
        <v>-3</v>
      </c>
      <c r="F20" s="2"/>
      <c r="G20" s="2">
        <v>-4</v>
      </c>
      <c r="H20" s="2"/>
      <c r="I20" s="2"/>
      <c r="J20" s="2"/>
      <c r="K20" s="2">
        <v>-3</v>
      </c>
      <c r="L20" s="2"/>
      <c r="M20" s="2"/>
      <c r="N20" s="2"/>
      <c r="O20" s="2"/>
      <c r="P20" s="2"/>
      <c r="Q20" s="2"/>
      <c r="R20" s="2">
        <v>-3</v>
      </c>
      <c r="S20" s="2"/>
      <c r="T20" s="2">
        <v>-3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1">
        <f t="shared" si="0"/>
        <v>0</v>
      </c>
    </row>
    <row r="21" spans="1:31" x14ac:dyDescent="0.3">
      <c r="A21" s="2" t="s">
        <v>55</v>
      </c>
      <c r="B21" s="8" t="s">
        <v>56</v>
      </c>
      <c r="C21" s="15">
        <v>4.2699999999999996</v>
      </c>
      <c r="D21" s="1">
        <v>16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1">
        <f t="shared" si="0"/>
        <v>16</v>
      </c>
    </row>
    <row r="22" spans="1:31" x14ac:dyDescent="0.3">
      <c r="A22" s="2" t="s">
        <v>57</v>
      </c>
      <c r="B22" s="8" t="s">
        <v>58</v>
      </c>
      <c r="C22" s="15">
        <v>5.27</v>
      </c>
      <c r="D22" s="1">
        <v>17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>
        <v>-2</v>
      </c>
      <c r="W22" s="2"/>
      <c r="X22" s="2"/>
      <c r="Y22" s="2"/>
      <c r="Z22" s="2"/>
      <c r="AA22" s="2"/>
      <c r="AB22" s="2"/>
      <c r="AC22" s="2"/>
      <c r="AD22" s="2"/>
      <c r="AE22" s="1">
        <f t="shared" si="0"/>
        <v>15</v>
      </c>
    </row>
    <row r="23" spans="1:31" x14ac:dyDescent="0.3">
      <c r="A23" s="10" t="s">
        <v>104</v>
      </c>
      <c r="B23" s="11"/>
      <c r="C23" s="14"/>
      <c r="D23" s="10">
        <v>1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">
        <f t="shared" si="0"/>
        <v>1</v>
      </c>
    </row>
    <row r="24" spans="1:31" x14ac:dyDescent="0.3">
      <c r="A24" s="10" t="s">
        <v>105</v>
      </c>
      <c r="B24" s="11"/>
      <c r="C24" s="14"/>
      <c r="D24" s="10">
        <v>2</v>
      </c>
      <c r="E24" s="10"/>
      <c r="F24" s="10"/>
      <c r="G24" s="10"/>
      <c r="H24" s="10"/>
      <c r="I24" s="10"/>
      <c r="J24" s="10">
        <v>-2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">
        <f t="shared" si="0"/>
        <v>0</v>
      </c>
    </row>
    <row r="25" spans="1:31" x14ac:dyDescent="0.3">
      <c r="A25" s="2" t="s">
        <v>33</v>
      </c>
      <c r="B25" s="8" t="s">
        <v>74</v>
      </c>
      <c r="C25" s="15">
        <v>2.27</v>
      </c>
      <c r="D25" s="1">
        <v>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1">
        <f t="shared" si="0"/>
        <v>6</v>
      </c>
    </row>
    <row r="26" spans="1:31" ht="13.95" customHeight="1" x14ac:dyDescent="0.3">
      <c r="A26" s="2" t="s">
        <v>33</v>
      </c>
      <c r="B26" s="8" t="s">
        <v>83</v>
      </c>
      <c r="C26" s="15">
        <v>12.26</v>
      </c>
      <c r="D26" s="1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>
        <v>-2</v>
      </c>
      <c r="Z26" s="2"/>
      <c r="AA26" s="2"/>
      <c r="AB26" s="2"/>
      <c r="AC26" s="2"/>
      <c r="AD26" s="2">
        <v>-1</v>
      </c>
      <c r="AE26" s="1">
        <f t="shared" si="0"/>
        <v>7</v>
      </c>
    </row>
    <row r="27" spans="1:31" x14ac:dyDescent="0.3">
      <c r="A27" s="2" t="s">
        <v>84</v>
      </c>
      <c r="B27" s="8" t="s">
        <v>85</v>
      </c>
      <c r="C27" s="15">
        <v>6.2027000000000001</v>
      </c>
      <c r="D27" s="1">
        <v>4</v>
      </c>
      <c r="E27" s="2">
        <v>-2</v>
      </c>
      <c r="F27" s="2"/>
      <c r="G27" s="2">
        <v>-2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1">
        <f t="shared" si="0"/>
        <v>0</v>
      </c>
    </row>
    <row r="28" spans="1:31" x14ac:dyDescent="0.3">
      <c r="A28" s="10" t="s">
        <v>106</v>
      </c>
      <c r="B28" s="11" t="s">
        <v>85</v>
      </c>
      <c r="C28" s="14">
        <v>6.2027000000000001</v>
      </c>
      <c r="D28" s="10">
        <v>0</v>
      </c>
      <c r="E28" s="10"/>
      <c r="F28" s="10"/>
      <c r="G28" s="10"/>
      <c r="H28" s="10"/>
      <c r="I28" s="10"/>
      <c r="J28" s="10"/>
      <c r="K28" s="10"/>
      <c r="L28" s="10"/>
      <c r="M28" s="10"/>
      <c r="N28" s="10">
        <v>2</v>
      </c>
      <c r="O28" s="10"/>
      <c r="P28" s="10"/>
      <c r="Q28" s="10"/>
      <c r="R28" s="10"/>
      <c r="S28" s="10"/>
      <c r="T28" s="10">
        <v>-2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">
        <f t="shared" si="0"/>
        <v>0</v>
      </c>
    </row>
    <row r="29" spans="1:31" x14ac:dyDescent="0.3">
      <c r="A29" s="2" t="s">
        <v>33</v>
      </c>
      <c r="B29" s="8" t="s">
        <v>35</v>
      </c>
      <c r="C29" s="15">
        <v>9.26</v>
      </c>
      <c r="D29" s="1">
        <v>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1">
        <f t="shared" si="0"/>
        <v>3</v>
      </c>
    </row>
    <row r="30" spans="1:31" x14ac:dyDescent="0.3">
      <c r="A30" s="2" t="s">
        <v>37</v>
      </c>
      <c r="B30" s="6" t="s">
        <v>38</v>
      </c>
      <c r="C30" s="15">
        <v>8.26</v>
      </c>
      <c r="D30" s="1">
        <v>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1">
        <f t="shared" si="0"/>
        <v>3</v>
      </c>
    </row>
    <row r="31" spans="1:31" x14ac:dyDescent="0.3">
      <c r="A31" s="2" t="s">
        <v>86</v>
      </c>
      <c r="B31" s="6" t="s">
        <v>87</v>
      </c>
      <c r="C31" s="15"/>
      <c r="D31" s="1">
        <v>9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>
        <v>-2</v>
      </c>
      <c r="T31" s="2"/>
      <c r="U31" s="2"/>
      <c r="V31" s="2"/>
      <c r="W31" s="2"/>
      <c r="X31" s="2"/>
      <c r="Y31" s="2">
        <v>-2</v>
      </c>
      <c r="Z31" s="2"/>
      <c r="AA31" s="2"/>
      <c r="AB31" s="2"/>
      <c r="AC31" s="2"/>
      <c r="AD31" s="2"/>
      <c r="AE31" s="1">
        <f t="shared" si="0"/>
        <v>5</v>
      </c>
    </row>
    <row r="32" spans="1:31" x14ac:dyDescent="0.3">
      <c r="A32" s="2" t="s">
        <v>88</v>
      </c>
      <c r="B32" s="6" t="s">
        <v>89</v>
      </c>
      <c r="C32" s="15">
        <v>6.27</v>
      </c>
      <c r="D32" s="1">
        <v>12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>
        <v>-1</v>
      </c>
      <c r="Z32" s="2"/>
      <c r="AA32" s="2"/>
      <c r="AB32" s="2"/>
      <c r="AC32" s="2"/>
      <c r="AD32" s="2"/>
      <c r="AE32" s="1">
        <f t="shared" si="0"/>
        <v>11</v>
      </c>
    </row>
    <row r="33" spans="1:31" x14ac:dyDescent="0.3">
      <c r="A33" s="1" t="s">
        <v>39</v>
      </c>
      <c r="B33" s="1"/>
      <c r="C33" s="16"/>
      <c r="D33" s="1">
        <v>514</v>
      </c>
      <c r="E33" s="1">
        <f t="shared" ref="E33:AD33" si="1">SUM(E3:E32)</f>
        <v>-23</v>
      </c>
      <c r="F33" s="1">
        <f t="shared" si="1"/>
        <v>70</v>
      </c>
      <c r="G33" s="1">
        <f t="shared" si="1"/>
        <v>-16</v>
      </c>
      <c r="H33" s="1">
        <f t="shared" si="1"/>
        <v>-19</v>
      </c>
      <c r="I33" s="1">
        <f t="shared" si="1"/>
        <v>16</v>
      </c>
      <c r="J33" s="1">
        <f t="shared" si="1"/>
        <v>-5</v>
      </c>
      <c r="K33" s="1">
        <f t="shared" si="1"/>
        <v>-15</v>
      </c>
      <c r="L33" s="1">
        <f t="shared" si="1"/>
        <v>-18</v>
      </c>
      <c r="M33" s="1">
        <f t="shared" si="1"/>
        <v>-15</v>
      </c>
      <c r="N33" s="1">
        <f t="shared" si="1"/>
        <v>6</v>
      </c>
      <c r="O33" s="1">
        <f t="shared" si="1"/>
        <v>-12</v>
      </c>
      <c r="P33" s="1">
        <f t="shared" si="1"/>
        <v>-22</v>
      </c>
      <c r="Q33" s="1">
        <f t="shared" si="1"/>
        <v>-3</v>
      </c>
      <c r="R33" s="1">
        <f t="shared" si="1"/>
        <v>-29</v>
      </c>
      <c r="S33" s="1">
        <f t="shared" si="1"/>
        <v>-9</v>
      </c>
      <c r="T33" s="1">
        <f t="shared" si="1"/>
        <v>-30</v>
      </c>
      <c r="U33" s="1">
        <f t="shared" si="1"/>
        <v>-15</v>
      </c>
      <c r="V33" s="1">
        <f t="shared" si="1"/>
        <v>-13</v>
      </c>
      <c r="W33" s="1">
        <f t="shared" si="1"/>
        <v>-6</v>
      </c>
      <c r="X33" s="1">
        <f t="shared" si="1"/>
        <v>30</v>
      </c>
      <c r="Y33" s="1">
        <f t="shared" si="1"/>
        <v>-27</v>
      </c>
      <c r="Z33" s="1">
        <f t="shared" si="1"/>
        <v>80</v>
      </c>
      <c r="AA33" s="1">
        <f t="shared" si="1"/>
        <v>-10</v>
      </c>
      <c r="AB33" s="1">
        <f t="shared" si="1"/>
        <v>-12</v>
      </c>
      <c r="AC33" s="1">
        <f t="shared" si="1"/>
        <v>-11</v>
      </c>
      <c r="AD33" s="1">
        <f t="shared" si="1"/>
        <v>-13</v>
      </c>
      <c r="AE33" s="1">
        <f t="shared" si="0"/>
        <v>393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80E15-7AB4-4D0D-8492-BDDDC1E4CE1A}">
  <dimension ref="A1:AE30"/>
  <sheetViews>
    <sheetView topLeftCell="C1" workbookViewId="0">
      <selection activeCell="E1" sqref="E1:E1048576"/>
    </sheetView>
  </sheetViews>
  <sheetFormatPr defaultRowHeight="14.4" x14ac:dyDescent="0.3"/>
  <cols>
    <col min="1" max="1" width="24.88671875" bestFit="1" customWidth="1"/>
    <col min="2" max="2" width="9.44140625" bestFit="1" customWidth="1"/>
  </cols>
  <sheetData>
    <row r="1" spans="1:31" x14ac:dyDescent="0.3">
      <c r="A1" s="43" t="s">
        <v>107</v>
      </c>
      <c r="B1" s="43"/>
      <c r="C1" s="43"/>
      <c r="D1" s="1"/>
      <c r="E1" s="20">
        <v>37104</v>
      </c>
      <c r="F1" s="20">
        <v>38200</v>
      </c>
      <c r="G1" s="20">
        <v>38565</v>
      </c>
      <c r="H1" s="20">
        <v>38930</v>
      </c>
      <c r="I1" s="20">
        <v>38930</v>
      </c>
      <c r="J1" s="20">
        <v>39295</v>
      </c>
      <c r="K1" s="20">
        <v>40756</v>
      </c>
      <c r="L1" s="20">
        <v>40756</v>
      </c>
      <c r="M1" s="20">
        <v>41122</v>
      </c>
      <c r="N1" s="20">
        <v>41487</v>
      </c>
      <c r="O1" s="20">
        <v>41487</v>
      </c>
      <c r="P1" s="20">
        <v>41852</v>
      </c>
      <c r="Q1" s="20">
        <v>41852</v>
      </c>
      <c r="R1" s="20">
        <v>43313</v>
      </c>
      <c r="S1" s="20">
        <v>43313</v>
      </c>
      <c r="T1" s="20">
        <v>43678</v>
      </c>
      <c r="U1" s="20">
        <v>44044</v>
      </c>
      <c r="V1" s="20">
        <v>44044</v>
      </c>
      <c r="W1" s="20">
        <v>44409</v>
      </c>
      <c r="X1" s="20">
        <v>44774</v>
      </c>
      <c r="Y1" s="20">
        <v>45870</v>
      </c>
      <c r="Z1" s="20">
        <v>46235</v>
      </c>
      <c r="AA1" s="20">
        <v>46235</v>
      </c>
      <c r="AB1" s="20">
        <v>46600</v>
      </c>
      <c r="AC1" s="20">
        <v>47331</v>
      </c>
      <c r="AD1" s="20"/>
      <c r="AE1" s="16"/>
    </row>
    <row r="2" spans="1:31" x14ac:dyDescent="0.3">
      <c r="A2" s="1" t="s">
        <v>1</v>
      </c>
      <c r="B2" s="1" t="s">
        <v>2</v>
      </c>
      <c r="C2" s="1" t="s">
        <v>3</v>
      </c>
      <c r="D2" s="1"/>
      <c r="E2" s="16"/>
      <c r="F2" s="16"/>
      <c r="G2" s="16"/>
      <c r="H2" s="16"/>
      <c r="I2" s="16" t="s">
        <v>5</v>
      </c>
      <c r="J2" s="16"/>
      <c r="K2" s="16"/>
      <c r="L2" s="16" t="s">
        <v>4</v>
      </c>
      <c r="M2" s="16"/>
      <c r="N2" s="16"/>
      <c r="O2" s="16" t="s">
        <v>4</v>
      </c>
      <c r="P2" s="16" t="s">
        <v>4</v>
      </c>
      <c r="Q2" s="16"/>
      <c r="R2" s="16"/>
      <c r="S2" s="19" t="s">
        <v>98</v>
      </c>
      <c r="T2" s="16"/>
      <c r="U2" s="19" t="s">
        <v>98</v>
      </c>
      <c r="V2" s="16"/>
      <c r="W2" s="16"/>
      <c r="X2" s="16"/>
      <c r="Y2" s="16"/>
      <c r="Z2" s="16"/>
      <c r="AA2" s="19" t="s">
        <v>98</v>
      </c>
      <c r="AB2" s="16" t="s">
        <v>4</v>
      </c>
      <c r="AC2" s="19" t="s">
        <v>98</v>
      </c>
      <c r="AD2" s="16"/>
      <c r="AE2" s="16"/>
    </row>
    <row r="3" spans="1:31" x14ac:dyDescent="0.3">
      <c r="A3" s="2" t="s">
        <v>17</v>
      </c>
      <c r="B3" s="6" t="s">
        <v>92</v>
      </c>
      <c r="C3" s="15">
        <v>4.2699999999999996</v>
      </c>
      <c r="D3" s="1">
        <v>49</v>
      </c>
      <c r="E3" s="2">
        <v>-19</v>
      </c>
      <c r="F3" s="2">
        <v>-6</v>
      </c>
      <c r="G3" s="2">
        <v>-9</v>
      </c>
      <c r="H3" s="2">
        <v>-18</v>
      </c>
      <c r="I3" s="2">
        <v>8</v>
      </c>
      <c r="J3" s="2"/>
      <c r="K3" s="2">
        <v>-4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>
        <v>72</v>
      </c>
      <c r="AC3" s="2"/>
      <c r="AD3" s="2"/>
      <c r="AE3" s="16">
        <f>SUM(D3:AD3)</f>
        <v>73</v>
      </c>
    </row>
    <row r="4" spans="1:31" x14ac:dyDescent="0.3">
      <c r="A4" s="10" t="s">
        <v>17</v>
      </c>
      <c r="B4" s="12" t="s">
        <v>92</v>
      </c>
      <c r="C4" s="14">
        <v>4.2699999999999996</v>
      </c>
      <c r="D4" s="10">
        <v>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>
        <v>5</v>
      </c>
      <c r="T4" s="10"/>
      <c r="U4" s="10">
        <v>16</v>
      </c>
      <c r="V4" s="10"/>
      <c r="W4" s="10"/>
      <c r="X4" s="10"/>
      <c r="Y4" s="10"/>
      <c r="Z4" s="10"/>
      <c r="AA4" s="10"/>
      <c r="AB4" s="10"/>
      <c r="AC4" s="10"/>
      <c r="AD4" s="10"/>
      <c r="AE4" s="16">
        <f t="shared" ref="AE4:AE30" si="0">SUM(D4:AD4)</f>
        <v>21</v>
      </c>
    </row>
    <row r="5" spans="1:31" x14ac:dyDescent="0.3">
      <c r="A5" s="2" t="s">
        <v>17</v>
      </c>
      <c r="B5" s="6" t="s">
        <v>108</v>
      </c>
      <c r="C5" s="15"/>
      <c r="D5" s="1">
        <v>0</v>
      </c>
      <c r="E5" s="2"/>
      <c r="F5" s="2"/>
      <c r="G5" s="2"/>
      <c r="H5" s="2"/>
      <c r="I5" s="2">
        <v>142</v>
      </c>
      <c r="J5" s="2">
        <v>-16</v>
      </c>
      <c r="K5" s="2">
        <v>-6</v>
      </c>
      <c r="L5" s="2"/>
      <c r="M5" s="2">
        <v>-21</v>
      </c>
      <c r="N5" s="2">
        <v>-3</v>
      </c>
      <c r="O5" s="2"/>
      <c r="P5" s="2"/>
      <c r="Q5" s="2">
        <v>-6</v>
      </c>
      <c r="R5" s="2">
        <v>-2</v>
      </c>
      <c r="S5" s="2"/>
      <c r="T5" s="2">
        <v>-10</v>
      </c>
      <c r="U5" s="2"/>
      <c r="V5" s="2"/>
      <c r="W5" s="2"/>
      <c r="X5" s="2">
        <v>-2</v>
      </c>
      <c r="Y5" s="2"/>
      <c r="Z5" s="2">
        <v>-4</v>
      </c>
      <c r="AA5" s="2"/>
      <c r="AB5" s="2"/>
      <c r="AC5" s="2"/>
      <c r="AD5" s="2"/>
      <c r="AE5" s="16">
        <f t="shared" si="0"/>
        <v>72</v>
      </c>
    </row>
    <row r="6" spans="1:31" x14ac:dyDescent="0.3">
      <c r="A6" s="10" t="s">
        <v>99</v>
      </c>
      <c r="B6" s="12"/>
      <c r="C6" s="14"/>
      <c r="D6" s="10">
        <v>5</v>
      </c>
      <c r="E6" s="10"/>
      <c r="F6" s="10"/>
      <c r="G6" s="10"/>
      <c r="H6" s="10"/>
      <c r="I6" s="10"/>
      <c r="J6" s="10"/>
      <c r="K6" s="10"/>
      <c r="L6" s="10"/>
      <c r="M6" s="10">
        <v>-3</v>
      </c>
      <c r="N6" s="10">
        <v>-2</v>
      </c>
      <c r="O6" s="10"/>
      <c r="P6" s="10"/>
      <c r="Q6" s="10"/>
      <c r="R6" s="10"/>
      <c r="S6" s="10"/>
      <c r="T6" s="10"/>
      <c r="U6" s="10">
        <v>1</v>
      </c>
      <c r="V6" s="10"/>
      <c r="W6" s="10"/>
      <c r="X6" s="10"/>
      <c r="Y6" s="10"/>
      <c r="Z6" s="10"/>
      <c r="AA6" s="10"/>
      <c r="AB6" s="10"/>
      <c r="AC6" s="10"/>
      <c r="AD6" s="10"/>
      <c r="AE6" s="16">
        <f t="shared" si="0"/>
        <v>1</v>
      </c>
    </row>
    <row r="7" spans="1:31" x14ac:dyDescent="0.3">
      <c r="A7" s="2" t="s">
        <v>6</v>
      </c>
      <c r="B7" s="7" t="s">
        <v>65</v>
      </c>
      <c r="C7" s="15">
        <v>3.27</v>
      </c>
      <c r="D7" s="1">
        <v>3</v>
      </c>
      <c r="E7" s="2">
        <v>-3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16">
        <f t="shared" si="0"/>
        <v>0</v>
      </c>
    </row>
    <row r="8" spans="1:31" x14ac:dyDescent="0.3">
      <c r="A8" s="2" t="s">
        <v>6</v>
      </c>
      <c r="B8" s="7" t="s">
        <v>100</v>
      </c>
      <c r="C8" s="15" t="s">
        <v>101</v>
      </c>
      <c r="D8" s="1">
        <v>30</v>
      </c>
      <c r="E8" s="2">
        <v>-2</v>
      </c>
      <c r="F8" s="2"/>
      <c r="G8" s="2"/>
      <c r="H8" s="2"/>
      <c r="I8" s="2"/>
      <c r="J8" s="2"/>
      <c r="K8" s="2"/>
      <c r="L8" s="2"/>
      <c r="M8" s="2">
        <v>-1</v>
      </c>
      <c r="N8" s="2"/>
      <c r="O8" s="2"/>
      <c r="P8" s="2"/>
      <c r="Q8" s="2">
        <v>-3</v>
      </c>
      <c r="R8" s="2"/>
      <c r="S8" s="2"/>
      <c r="T8" s="2">
        <v>-4</v>
      </c>
      <c r="U8" s="2"/>
      <c r="V8" s="2">
        <v>-5</v>
      </c>
      <c r="W8" s="2">
        <v>-4</v>
      </c>
      <c r="X8" s="2"/>
      <c r="Y8" s="2"/>
      <c r="Z8" s="2">
        <v>-5</v>
      </c>
      <c r="AA8" s="2"/>
      <c r="AB8" s="2"/>
      <c r="AC8" s="2"/>
      <c r="AD8" s="2"/>
      <c r="AE8" s="16">
        <f t="shared" si="0"/>
        <v>6</v>
      </c>
    </row>
    <row r="9" spans="1:31" x14ac:dyDescent="0.3">
      <c r="A9" s="2" t="s">
        <v>93</v>
      </c>
      <c r="B9" s="7" t="s">
        <v>109</v>
      </c>
      <c r="C9" s="15">
        <v>5.2027000000000001</v>
      </c>
      <c r="D9" s="1">
        <v>0</v>
      </c>
      <c r="E9" s="2"/>
      <c r="F9" s="2"/>
      <c r="G9" s="2"/>
      <c r="H9" s="2"/>
      <c r="I9" s="2"/>
      <c r="J9" s="2"/>
      <c r="K9" s="2"/>
      <c r="L9" s="2">
        <v>20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16">
        <f t="shared" si="0"/>
        <v>20</v>
      </c>
    </row>
    <row r="10" spans="1:31" x14ac:dyDescent="0.3">
      <c r="A10" s="2" t="s">
        <v>93</v>
      </c>
      <c r="B10" s="7" t="s">
        <v>94</v>
      </c>
      <c r="C10" s="15">
        <v>3.27</v>
      </c>
      <c r="D10" s="1">
        <v>50</v>
      </c>
      <c r="E10" s="2"/>
      <c r="F10" s="2"/>
      <c r="G10" s="2">
        <v>-1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16">
        <f t="shared" si="0"/>
        <v>49</v>
      </c>
    </row>
    <row r="11" spans="1:31" x14ac:dyDescent="0.3">
      <c r="A11" s="2" t="s">
        <v>12</v>
      </c>
      <c r="B11" s="7" t="s">
        <v>95</v>
      </c>
      <c r="C11" s="15">
        <v>3.27</v>
      </c>
      <c r="D11" s="1">
        <v>6</v>
      </c>
      <c r="E11" s="2"/>
      <c r="F11" s="2"/>
      <c r="G11" s="2"/>
      <c r="H11" s="2"/>
      <c r="I11" s="2"/>
      <c r="J11" s="2">
        <v>-4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>
        <v>-1</v>
      </c>
      <c r="W11" s="2"/>
      <c r="X11" s="2">
        <v>-1</v>
      </c>
      <c r="Y11" s="2"/>
      <c r="Z11" s="2"/>
      <c r="AA11" s="2"/>
      <c r="AB11" s="2"/>
      <c r="AC11" s="2"/>
      <c r="AD11" s="2"/>
      <c r="AE11" s="16">
        <f t="shared" si="0"/>
        <v>0</v>
      </c>
    </row>
    <row r="12" spans="1:31" x14ac:dyDescent="0.3">
      <c r="A12" s="2" t="s">
        <v>12</v>
      </c>
      <c r="B12" s="7" t="s">
        <v>110</v>
      </c>
      <c r="C12" s="15">
        <v>7.2027000000000001</v>
      </c>
      <c r="D12" s="1">
        <v>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v>20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16">
        <f t="shared" si="0"/>
        <v>20</v>
      </c>
    </row>
    <row r="13" spans="1:31" x14ac:dyDescent="0.3">
      <c r="A13" s="2" t="s">
        <v>12</v>
      </c>
      <c r="B13" s="7" t="s">
        <v>67</v>
      </c>
      <c r="C13" s="15">
        <v>6.26</v>
      </c>
      <c r="D13" s="1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>
        <v>-1</v>
      </c>
      <c r="Y13" s="2"/>
      <c r="Z13" s="2"/>
      <c r="AA13" s="2"/>
      <c r="AB13" s="2"/>
      <c r="AC13" s="2"/>
      <c r="AD13" s="2"/>
      <c r="AE13" s="16">
        <f t="shared" si="0"/>
        <v>0</v>
      </c>
    </row>
    <row r="14" spans="1:31" x14ac:dyDescent="0.3">
      <c r="A14" s="10" t="s">
        <v>12</v>
      </c>
      <c r="B14" s="21" t="s">
        <v>95</v>
      </c>
      <c r="C14" s="14">
        <v>3.27</v>
      </c>
      <c r="D14" s="10">
        <v>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>
        <v>1</v>
      </c>
      <c r="AD14" s="10"/>
      <c r="AE14" s="16">
        <f t="shared" si="0"/>
        <v>1</v>
      </c>
    </row>
    <row r="15" spans="1:31" x14ac:dyDescent="0.3">
      <c r="A15" s="2" t="s">
        <v>24</v>
      </c>
      <c r="B15" s="7" t="s">
        <v>111</v>
      </c>
      <c r="C15" s="15">
        <v>3.27</v>
      </c>
      <c r="D15" s="1">
        <v>0</v>
      </c>
      <c r="E15" s="2"/>
      <c r="F15" s="2"/>
      <c r="G15" s="2"/>
      <c r="H15" s="2"/>
      <c r="I15" s="2">
        <v>30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>
        <v>1</v>
      </c>
      <c r="AC15" s="2"/>
      <c r="AD15" s="2"/>
      <c r="AE15" s="16">
        <f t="shared" si="0"/>
        <v>31</v>
      </c>
    </row>
    <row r="16" spans="1:31" x14ac:dyDescent="0.3">
      <c r="A16" s="2" t="s">
        <v>24</v>
      </c>
      <c r="B16" s="8" t="s">
        <v>102</v>
      </c>
      <c r="C16" s="15">
        <v>2.2027000000000001</v>
      </c>
      <c r="D16" s="1">
        <v>50</v>
      </c>
      <c r="E16" s="2"/>
      <c r="F16" s="2"/>
      <c r="G16" s="2"/>
      <c r="H16" s="2"/>
      <c r="I16" s="2"/>
      <c r="J16" s="2">
        <v>-11</v>
      </c>
      <c r="K16" s="2"/>
      <c r="L16" s="2"/>
      <c r="M16" s="2"/>
      <c r="N16" s="2"/>
      <c r="O16" s="2"/>
      <c r="P16" s="2"/>
      <c r="Q16" s="2">
        <v>-11</v>
      </c>
      <c r="R16" s="2">
        <v>-4</v>
      </c>
      <c r="S16" s="2"/>
      <c r="T16" s="2"/>
      <c r="U16" s="2"/>
      <c r="V16" s="2"/>
      <c r="W16" s="2"/>
      <c r="X16" s="2"/>
      <c r="Y16" s="2">
        <v>-2</v>
      </c>
      <c r="Z16" s="2"/>
      <c r="AA16" s="2"/>
      <c r="AB16" s="2">
        <v>9</v>
      </c>
      <c r="AC16" s="2"/>
      <c r="AD16" s="2"/>
      <c r="AE16" s="16">
        <f t="shared" si="0"/>
        <v>31</v>
      </c>
    </row>
    <row r="17" spans="1:31" x14ac:dyDescent="0.3">
      <c r="A17" s="10" t="s">
        <v>24</v>
      </c>
      <c r="B17" s="11" t="s">
        <v>76</v>
      </c>
      <c r="C17" s="14" t="s">
        <v>77</v>
      </c>
      <c r="D17" s="10">
        <v>0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v>2</v>
      </c>
      <c r="T17" s="10"/>
      <c r="U17" s="10"/>
      <c r="V17" s="10"/>
      <c r="W17" s="10"/>
      <c r="X17" s="10"/>
      <c r="Y17" s="10"/>
      <c r="Z17" s="10"/>
      <c r="AA17" s="10">
        <v>4</v>
      </c>
      <c r="AB17" s="10"/>
      <c r="AC17" s="10"/>
      <c r="AD17" s="10"/>
      <c r="AE17" s="16">
        <f t="shared" si="0"/>
        <v>6</v>
      </c>
    </row>
    <row r="18" spans="1:31" x14ac:dyDescent="0.3">
      <c r="A18" s="2" t="s">
        <v>24</v>
      </c>
      <c r="B18" s="8" t="s">
        <v>76</v>
      </c>
      <c r="C18" s="15" t="s">
        <v>77</v>
      </c>
      <c r="D18" s="1">
        <v>49</v>
      </c>
      <c r="E18" s="2">
        <v>-18</v>
      </c>
      <c r="F18" s="2"/>
      <c r="G18" s="2">
        <v>-7</v>
      </c>
      <c r="H18" s="2"/>
      <c r="I18" s="2"/>
      <c r="J18" s="2"/>
      <c r="K18" s="2">
        <v>-7</v>
      </c>
      <c r="L18" s="2"/>
      <c r="M18" s="2">
        <v>-4</v>
      </c>
      <c r="N18" s="2">
        <v>-5</v>
      </c>
      <c r="O18" s="2"/>
      <c r="P18" s="2"/>
      <c r="Q18" s="2">
        <v>-2</v>
      </c>
      <c r="R18" s="2"/>
      <c r="S18" s="2"/>
      <c r="T18" s="2"/>
      <c r="U18" s="2"/>
      <c r="V18" s="2">
        <v>-1</v>
      </c>
      <c r="W18" s="2"/>
      <c r="X18" s="2">
        <v>-1</v>
      </c>
      <c r="Y18" s="2"/>
      <c r="Z18" s="2">
        <v>-3</v>
      </c>
      <c r="AA18" s="2"/>
      <c r="AB18" s="2"/>
      <c r="AC18" s="2"/>
      <c r="AD18" s="2"/>
      <c r="AE18" s="16">
        <f t="shared" si="0"/>
        <v>1</v>
      </c>
    </row>
    <row r="19" spans="1:31" x14ac:dyDescent="0.3">
      <c r="A19" s="2" t="s">
        <v>30</v>
      </c>
      <c r="B19" s="8" t="s">
        <v>81</v>
      </c>
      <c r="C19" s="15" t="s">
        <v>103</v>
      </c>
      <c r="D19" s="1">
        <v>40</v>
      </c>
      <c r="E19" s="2">
        <v>-1</v>
      </c>
      <c r="F19" s="2">
        <v>-10</v>
      </c>
      <c r="G19" s="2">
        <v>-1</v>
      </c>
      <c r="H19" s="2"/>
      <c r="I19" s="2"/>
      <c r="J19" s="2">
        <v>-3</v>
      </c>
      <c r="K19" s="2"/>
      <c r="L19" s="2">
        <v>30</v>
      </c>
      <c r="M19" s="2">
        <v>-10</v>
      </c>
      <c r="N19" s="2">
        <v>-5</v>
      </c>
      <c r="O19" s="2">
        <v>30</v>
      </c>
      <c r="P19" s="2"/>
      <c r="Q19" s="2">
        <v>-9</v>
      </c>
      <c r="R19" s="2">
        <v>-2</v>
      </c>
      <c r="S19" s="2"/>
      <c r="T19" s="2">
        <v>-3</v>
      </c>
      <c r="U19" s="2"/>
      <c r="V19" s="2">
        <v>-7</v>
      </c>
      <c r="W19" s="2"/>
      <c r="X19" s="2">
        <v>-3</v>
      </c>
      <c r="Y19" s="2">
        <v>-8</v>
      </c>
      <c r="Z19" s="2">
        <v>-7</v>
      </c>
      <c r="AA19" s="2"/>
      <c r="AB19" s="2"/>
      <c r="AC19" s="2"/>
      <c r="AD19" s="2"/>
      <c r="AE19" s="16">
        <f t="shared" si="0"/>
        <v>31</v>
      </c>
    </row>
    <row r="20" spans="1:31" x14ac:dyDescent="0.3">
      <c r="A20" s="2" t="s">
        <v>55</v>
      </c>
      <c r="B20" s="8" t="s">
        <v>56</v>
      </c>
      <c r="C20" s="15">
        <v>4.2699999999999996</v>
      </c>
      <c r="D20" s="1">
        <v>16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16">
        <f t="shared" si="0"/>
        <v>16</v>
      </c>
    </row>
    <row r="21" spans="1:31" x14ac:dyDescent="0.3">
      <c r="A21" s="2" t="s">
        <v>57</v>
      </c>
      <c r="B21" s="8" t="s">
        <v>58</v>
      </c>
      <c r="C21" s="15">
        <v>5.27</v>
      </c>
      <c r="D21" s="1">
        <v>15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16">
        <f t="shared" si="0"/>
        <v>15</v>
      </c>
    </row>
    <row r="22" spans="1:31" x14ac:dyDescent="0.3">
      <c r="A22" s="10" t="s">
        <v>104</v>
      </c>
      <c r="B22" s="11"/>
      <c r="C22" s="14"/>
      <c r="D22" s="10">
        <v>1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6">
        <f t="shared" si="0"/>
        <v>1</v>
      </c>
    </row>
    <row r="23" spans="1:31" x14ac:dyDescent="0.3">
      <c r="A23" s="2" t="s">
        <v>33</v>
      </c>
      <c r="B23" s="8" t="s">
        <v>112</v>
      </c>
      <c r="C23" s="15">
        <v>9.2027000000000001</v>
      </c>
      <c r="D23" s="1">
        <v>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v>30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16">
        <f t="shared" si="0"/>
        <v>30</v>
      </c>
    </row>
    <row r="24" spans="1:31" x14ac:dyDescent="0.3">
      <c r="A24" s="2" t="s">
        <v>33</v>
      </c>
      <c r="B24" s="8" t="s">
        <v>74</v>
      </c>
      <c r="C24" s="15">
        <v>2.27</v>
      </c>
      <c r="D24" s="1">
        <v>6</v>
      </c>
      <c r="E24" s="2">
        <v>-4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16">
        <f t="shared" si="0"/>
        <v>2</v>
      </c>
    </row>
    <row r="25" spans="1:31" x14ac:dyDescent="0.3">
      <c r="A25" s="2" t="s">
        <v>33</v>
      </c>
      <c r="B25" s="8" t="s">
        <v>83</v>
      </c>
      <c r="C25" s="15">
        <v>12.26</v>
      </c>
      <c r="D25" s="1">
        <v>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>
        <v>-2</v>
      </c>
      <c r="Z25" s="2"/>
      <c r="AA25" s="2"/>
      <c r="AB25" s="2"/>
      <c r="AC25" s="2"/>
      <c r="AD25" s="2"/>
      <c r="AE25" s="16">
        <f t="shared" si="0"/>
        <v>5</v>
      </c>
    </row>
    <row r="26" spans="1:31" x14ac:dyDescent="0.3">
      <c r="A26" s="2" t="s">
        <v>33</v>
      </c>
      <c r="B26" s="8" t="s">
        <v>35</v>
      </c>
      <c r="C26" s="15">
        <v>9.26</v>
      </c>
      <c r="D26" s="1">
        <v>3</v>
      </c>
      <c r="E26" s="2"/>
      <c r="F26" s="2">
        <v>-2</v>
      </c>
      <c r="G26" s="2"/>
      <c r="H26" s="2"/>
      <c r="I26" s="2"/>
      <c r="J26" s="2"/>
      <c r="K26" s="2">
        <v>-1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16">
        <f t="shared" si="0"/>
        <v>0</v>
      </c>
    </row>
    <row r="27" spans="1:31" x14ac:dyDescent="0.3">
      <c r="A27" s="2" t="s">
        <v>37</v>
      </c>
      <c r="B27" s="6" t="s">
        <v>38</v>
      </c>
      <c r="C27" s="15">
        <v>8.26</v>
      </c>
      <c r="D27" s="1">
        <v>3</v>
      </c>
      <c r="E27" s="2"/>
      <c r="F27" s="2"/>
      <c r="G27" s="2"/>
      <c r="H27" s="2"/>
      <c r="I27" s="2"/>
      <c r="J27" s="2"/>
      <c r="K27" s="2">
        <v>-2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16">
        <f t="shared" si="0"/>
        <v>1</v>
      </c>
    </row>
    <row r="28" spans="1:31" x14ac:dyDescent="0.3">
      <c r="A28" s="2" t="s">
        <v>86</v>
      </c>
      <c r="B28" s="6" t="s">
        <v>87</v>
      </c>
      <c r="C28" s="15"/>
      <c r="D28" s="1">
        <v>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16">
        <f t="shared" si="0"/>
        <v>5</v>
      </c>
    </row>
    <row r="29" spans="1:31" x14ac:dyDescent="0.3">
      <c r="A29" s="2" t="s">
        <v>88</v>
      </c>
      <c r="B29" s="6" t="s">
        <v>89</v>
      </c>
      <c r="C29" s="15">
        <v>6.27</v>
      </c>
      <c r="D29" s="1">
        <v>11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>
        <v>-1</v>
      </c>
      <c r="Z29" s="2"/>
      <c r="AA29" s="2"/>
      <c r="AB29" s="2"/>
      <c r="AC29" s="2"/>
      <c r="AD29" s="2"/>
      <c r="AE29" s="16">
        <f t="shared" si="0"/>
        <v>10</v>
      </c>
    </row>
    <row r="30" spans="1:31" x14ac:dyDescent="0.3">
      <c r="A30" s="1" t="s">
        <v>39</v>
      </c>
      <c r="B30" s="1"/>
      <c r="C30" s="16"/>
      <c r="D30" s="1">
        <v>393</v>
      </c>
      <c r="E30" s="16">
        <f>SUM(E3:E29)</f>
        <v>-47</v>
      </c>
      <c r="F30" s="16">
        <f t="shared" ref="F30:AD30" si="1">SUM(F3:F29)</f>
        <v>-18</v>
      </c>
      <c r="G30" s="16">
        <f t="shared" si="1"/>
        <v>-18</v>
      </c>
      <c r="H30" s="16">
        <f t="shared" si="1"/>
        <v>-18</v>
      </c>
      <c r="I30" s="16">
        <f t="shared" si="1"/>
        <v>180</v>
      </c>
      <c r="J30" s="16">
        <f t="shared" si="1"/>
        <v>-34</v>
      </c>
      <c r="K30" s="16">
        <f t="shared" si="1"/>
        <v>-20</v>
      </c>
      <c r="L30" s="16">
        <f t="shared" si="1"/>
        <v>50</v>
      </c>
      <c r="M30" s="16">
        <f t="shared" si="1"/>
        <v>-39</v>
      </c>
      <c r="N30" s="16">
        <f t="shared" si="1"/>
        <v>-15</v>
      </c>
      <c r="O30" s="16">
        <f t="shared" si="1"/>
        <v>30</v>
      </c>
      <c r="P30" s="16">
        <f t="shared" si="1"/>
        <v>50</v>
      </c>
      <c r="Q30" s="16">
        <f t="shared" si="1"/>
        <v>-31</v>
      </c>
      <c r="R30" s="16">
        <f t="shared" si="1"/>
        <v>-8</v>
      </c>
      <c r="S30" s="16">
        <f t="shared" si="1"/>
        <v>7</v>
      </c>
      <c r="T30" s="16">
        <f t="shared" si="1"/>
        <v>-17</v>
      </c>
      <c r="U30" s="16">
        <f t="shared" si="1"/>
        <v>17</v>
      </c>
      <c r="V30" s="16">
        <f t="shared" si="1"/>
        <v>-14</v>
      </c>
      <c r="W30" s="16">
        <f t="shared" si="1"/>
        <v>-4</v>
      </c>
      <c r="X30" s="16">
        <f t="shared" si="1"/>
        <v>-8</v>
      </c>
      <c r="Y30" s="16">
        <f t="shared" si="1"/>
        <v>-13</v>
      </c>
      <c r="Z30" s="16">
        <f t="shared" si="1"/>
        <v>-19</v>
      </c>
      <c r="AA30" s="16">
        <f t="shared" si="1"/>
        <v>4</v>
      </c>
      <c r="AB30" s="16">
        <f t="shared" si="1"/>
        <v>82</v>
      </c>
      <c r="AC30" s="16">
        <f t="shared" si="1"/>
        <v>1</v>
      </c>
      <c r="AD30" s="16">
        <f t="shared" si="1"/>
        <v>0</v>
      </c>
      <c r="AE30" s="16">
        <f t="shared" si="0"/>
        <v>491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7564-D714-4D5A-9936-0CA09C773DE3}">
  <dimension ref="A1:AD29"/>
  <sheetViews>
    <sheetView topLeftCell="C1" workbookViewId="0">
      <selection activeCell="A14" sqref="A14:XFD14"/>
    </sheetView>
  </sheetViews>
  <sheetFormatPr defaultRowHeight="14.4" x14ac:dyDescent="0.3"/>
  <cols>
    <col min="1" max="1" width="24.88671875" bestFit="1" customWidth="1"/>
    <col min="2" max="2" width="9.44140625" bestFit="1" customWidth="1"/>
    <col min="3" max="3" width="10.109375" bestFit="1" customWidth="1"/>
    <col min="4" max="4" width="10.5546875" customWidth="1"/>
  </cols>
  <sheetData>
    <row r="1" spans="1:30" x14ac:dyDescent="0.3">
      <c r="A1" s="43" t="s">
        <v>113</v>
      </c>
      <c r="B1" s="43"/>
      <c r="C1" s="43"/>
      <c r="D1" s="16"/>
      <c r="E1" s="9">
        <v>37135</v>
      </c>
      <c r="F1" s="9">
        <v>37500</v>
      </c>
      <c r="G1" s="9">
        <v>37500</v>
      </c>
      <c r="H1" s="9">
        <v>37865</v>
      </c>
      <c r="I1" s="9">
        <v>38231</v>
      </c>
      <c r="J1" s="9">
        <v>38231</v>
      </c>
      <c r="K1" s="9">
        <v>38596</v>
      </c>
      <c r="L1" s="9">
        <v>40422</v>
      </c>
      <c r="M1" s="9">
        <v>40422</v>
      </c>
      <c r="N1" s="9">
        <v>41153</v>
      </c>
      <c r="O1" s="9">
        <v>42248</v>
      </c>
      <c r="P1" s="9">
        <v>42614</v>
      </c>
      <c r="Q1" s="9">
        <v>42614</v>
      </c>
      <c r="R1" s="9">
        <v>42979</v>
      </c>
      <c r="S1" s="9">
        <v>43344</v>
      </c>
      <c r="T1" s="9">
        <v>43344</v>
      </c>
      <c r="U1" s="9">
        <v>43709</v>
      </c>
      <c r="V1" s="9">
        <v>43709</v>
      </c>
      <c r="W1" s="9">
        <v>44805</v>
      </c>
      <c r="X1" s="9">
        <v>44805</v>
      </c>
      <c r="Y1" s="9">
        <v>45170</v>
      </c>
      <c r="Z1" s="9">
        <v>45536</v>
      </c>
      <c r="AA1" s="9">
        <v>46266</v>
      </c>
      <c r="AB1" s="9">
        <v>47362</v>
      </c>
      <c r="AC1" s="9">
        <v>11202</v>
      </c>
      <c r="AD1" s="1"/>
    </row>
    <row r="2" spans="1:30" x14ac:dyDescent="0.3">
      <c r="A2" s="1" t="s">
        <v>1</v>
      </c>
      <c r="B2" s="1" t="s">
        <v>2</v>
      </c>
      <c r="C2" s="1" t="s">
        <v>3</v>
      </c>
      <c r="D2" s="16"/>
      <c r="E2" s="1"/>
      <c r="F2" s="1"/>
      <c r="G2" s="19" t="s">
        <v>98</v>
      </c>
      <c r="H2" s="1"/>
      <c r="I2" s="19" t="s">
        <v>98</v>
      </c>
      <c r="J2" s="1"/>
      <c r="K2" s="1"/>
      <c r="L2" s="1" t="s">
        <v>5</v>
      </c>
      <c r="M2" s="1"/>
      <c r="N2" s="1"/>
      <c r="O2" s="1"/>
      <c r="P2" s="1"/>
      <c r="Q2" s="19" t="s">
        <v>98</v>
      </c>
      <c r="R2" s="1"/>
      <c r="S2" s="1"/>
      <c r="T2" s="1" t="s">
        <v>5</v>
      </c>
      <c r="U2" s="1"/>
      <c r="V2" s="1" t="s">
        <v>114</v>
      </c>
      <c r="W2" s="1" t="s">
        <v>115</v>
      </c>
      <c r="X2" s="1"/>
      <c r="Y2" s="1"/>
      <c r="Z2" s="1"/>
      <c r="AA2" s="1"/>
      <c r="AB2" s="1"/>
      <c r="AC2" s="1"/>
      <c r="AD2" s="1"/>
    </row>
    <row r="3" spans="1:30" x14ac:dyDescent="0.3">
      <c r="A3" s="2" t="s">
        <v>17</v>
      </c>
      <c r="B3" s="6" t="s">
        <v>92</v>
      </c>
      <c r="C3" s="15">
        <v>4.2699999999999996</v>
      </c>
      <c r="D3" s="16">
        <v>73</v>
      </c>
      <c r="E3" s="2"/>
      <c r="F3" s="2"/>
      <c r="G3" s="2"/>
      <c r="H3" s="2"/>
      <c r="I3" s="2"/>
      <c r="J3" s="2">
        <v>-1</v>
      </c>
      <c r="K3" s="2">
        <v>-15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1">
        <f>SUM(D3:AC3)</f>
        <v>57</v>
      </c>
    </row>
    <row r="4" spans="1:30" x14ac:dyDescent="0.3">
      <c r="A4" s="24" t="s">
        <v>17</v>
      </c>
      <c r="B4" s="25" t="s">
        <v>92</v>
      </c>
      <c r="C4" s="26">
        <v>4.2699999999999996</v>
      </c>
      <c r="D4" s="27">
        <v>21</v>
      </c>
      <c r="E4" s="28"/>
      <c r="F4" s="28"/>
      <c r="G4" s="28">
        <v>2</v>
      </c>
      <c r="H4" s="28"/>
      <c r="I4" s="28"/>
      <c r="J4" s="28"/>
      <c r="K4" s="28"/>
      <c r="L4" s="28"/>
      <c r="M4" s="28"/>
      <c r="N4" s="28">
        <v>-2</v>
      </c>
      <c r="O4" s="28">
        <v>-2</v>
      </c>
      <c r="P4" s="28"/>
      <c r="Q4" s="28"/>
      <c r="R4" s="28">
        <v>-7</v>
      </c>
      <c r="S4" s="28">
        <v>-7</v>
      </c>
      <c r="T4" s="28"/>
      <c r="U4" s="28">
        <v>-5</v>
      </c>
      <c r="V4" s="28"/>
      <c r="W4" s="28"/>
      <c r="X4" s="28"/>
      <c r="Y4" s="28"/>
      <c r="Z4" s="28"/>
      <c r="AA4" s="28"/>
      <c r="AB4" s="28"/>
      <c r="AC4" s="28"/>
      <c r="AD4" s="1">
        <f t="shared" ref="AD4:AD29" si="0">SUM(D4:AC4)</f>
        <v>0</v>
      </c>
    </row>
    <row r="5" spans="1:30" x14ac:dyDescent="0.3">
      <c r="A5" s="2" t="s">
        <v>17</v>
      </c>
      <c r="B5" s="6" t="s">
        <v>116</v>
      </c>
      <c r="C5" s="15">
        <v>3.2027000000000001</v>
      </c>
      <c r="D5" s="23">
        <v>0</v>
      </c>
      <c r="E5" s="22"/>
      <c r="F5" s="22"/>
      <c r="G5" s="22"/>
      <c r="H5" s="22"/>
      <c r="I5" s="22"/>
      <c r="J5" s="22"/>
      <c r="K5" s="22"/>
      <c r="L5" s="22">
        <v>100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>
        <v>-20</v>
      </c>
      <c r="X5" s="22">
        <v>-9</v>
      </c>
      <c r="Y5" s="22"/>
      <c r="Z5" s="22">
        <v>-8</v>
      </c>
      <c r="AA5" s="22">
        <v>-3</v>
      </c>
      <c r="AB5" s="22">
        <v>-4</v>
      </c>
      <c r="AC5" s="22">
        <v>-7</v>
      </c>
      <c r="AD5" s="1">
        <f t="shared" si="0"/>
        <v>49</v>
      </c>
    </row>
    <row r="6" spans="1:30" x14ac:dyDescent="0.3">
      <c r="A6" s="2" t="s">
        <v>17</v>
      </c>
      <c r="B6" s="6" t="s">
        <v>108</v>
      </c>
      <c r="C6" s="15"/>
      <c r="D6" s="16">
        <v>72</v>
      </c>
      <c r="E6" s="2"/>
      <c r="F6" s="2"/>
      <c r="G6" s="2"/>
      <c r="H6" s="2">
        <v>-9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1">
        <f t="shared" si="0"/>
        <v>63</v>
      </c>
    </row>
    <row r="7" spans="1:30" x14ac:dyDescent="0.3">
      <c r="A7" s="10" t="s">
        <v>99</v>
      </c>
      <c r="B7" s="12"/>
      <c r="C7" s="14"/>
      <c r="D7" s="14">
        <v>1</v>
      </c>
      <c r="E7" s="10"/>
      <c r="F7" s="10"/>
      <c r="G7" s="10"/>
      <c r="H7" s="10"/>
      <c r="I7" s="10"/>
      <c r="J7" s="10"/>
      <c r="K7" s="10"/>
      <c r="L7" s="10"/>
      <c r="M7" s="10"/>
      <c r="N7" s="10">
        <v>-1</v>
      </c>
      <c r="O7" s="10"/>
      <c r="P7" s="10"/>
      <c r="Q7" s="10">
        <v>4</v>
      </c>
      <c r="R7" s="10"/>
      <c r="S7" s="10"/>
      <c r="T7" s="10"/>
      <c r="U7" s="10">
        <v>-3</v>
      </c>
      <c r="V7" s="10"/>
      <c r="W7" s="10"/>
      <c r="X7" s="10"/>
      <c r="Y7" s="10">
        <v>-1</v>
      </c>
      <c r="Z7" s="10"/>
      <c r="AA7" s="10"/>
      <c r="AB7" s="10"/>
      <c r="AC7" s="10"/>
      <c r="AD7" s="1">
        <f t="shared" si="0"/>
        <v>0</v>
      </c>
    </row>
    <row r="8" spans="1:30" x14ac:dyDescent="0.3">
      <c r="A8" s="2" t="s">
        <v>6</v>
      </c>
      <c r="B8" s="7" t="s">
        <v>100</v>
      </c>
      <c r="C8" s="15" t="s">
        <v>101</v>
      </c>
      <c r="D8" s="16">
        <v>6</v>
      </c>
      <c r="E8" s="2"/>
      <c r="F8" s="2"/>
      <c r="G8" s="2"/>
      <c r="H8" s="2">
        <v>-1</v>
      </c>
      <c r="I8" s="2"/>
      <c r="J8" s="2">
        <v>-1</v>
      </c>
      <c r="K8" s="2">
        <v>-3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1">
        <f t="shared" si="0"/>
        <v>1</v>
      </c>
    </row>
    <row r="9" spans="1:30" x14ac:dyDescent="0.3">
      <c r="A9" s="2" t="s">
        <v>93</v>
      </c>
      <c r="B9" s="7" t="s">
        <v>109</v>
      </c>
      <c r="C9" s="15">
        <v>5.2027000000000001</v>
      </c>
      <c r="D9" s="16">
        <v>20</v>
      </c>
      <c r="E9" s="2"/>
      <c r="F9" s="2"/>
      <c r="G9" s="2"/>
      <c r="H9" s="2"/>
      <c r="I9" s="2"/>
      <c r="J9" s="2"/>
      <c r="K9" s="2"/>
      <c r="L9" s="2"/>
      <c r="M9" s="2"/>
      <c r="N9" s="2">
        <v>-6</v>
      </c>
      <c r="O9" s="2"/>
      <c r="P9" s="2"/>
      <c r="Q9" s="2"/>
      <c r="R9" s="2"/>
      <c r="S9" s="2"/>
      <c r="T9" s="2"/>
      <c r="U9" s="2"/>
      <c r="V9" s="2"/>
      <c r="W9" s="2"/>
      <c r="X9" s="2">
        <v>-3</v>
      </c>
      <c r="Y9" s="2"/>
      <c r="Z9" s="2"/>
      <c r="AA9" s="2">
        <v>-2</v>
      </c>
      <c r="AB9" s="2">
        <v>-2</v>
      </c>
      <c r="AC9" s="2"/>
      <c r="AD9" s="1">
        <f t="shared" si="0"/>
        <v>7</v>
      </c>
    </row>
    <row r="10" spans="1:30" x14ac:dyDescent="0.3">
      <c r="A10" s="2" t="s">
        <v>93</v>
      </c>
      <c r="B10" s="7" t="s">
        <v>94</v>
      </c>
      <c r="C10" s="15">
        <v>3.27</v>
      </c>
      <c r="D10" s="16">
        <v>49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>
        <v>-1</v>
      </c>
      <c r="P10" s="2"/>
      <c r="Q10" s="2"/>
      <c r="R10" s="2"/>
      <c r="S10" s="2"/>
      <c r="T10" s="2"/>
      <c r="U10" s="2">
        <v>-7</v>
      </c>
      <c r="V10" s="2"/>
      <c r="W10" s="2"/>
      <c r="X10" s="2"/>
      <c r="Y10" s="2"/>
      <c r="Z10" s="2"/>
      <c r="AA10" s="2"/>
      <c r="AB10" s="2"/>
      <c r="AC10" s="2"/>
      <c r="AD10" s="1">
        <f t="shared" si="0"/>
        <v>41</v>
      </c>
    </row>
    <row r="11" spans="1:30" x14ac:dyDescent="0.3">
      <c r="A11" s="2" t="s">
        <v>12</v>
      </c>
      <c r="B11" s="7" t="s">
        <v>110</v>
      </c>
      <c r="C11" s="15">
        <v>7.2027000000000001</v>
      </c>
      <c r="D11" s="16">
        <v>20</v>
      </c>
      <c r="E11" s="2"/>
      <c r="F11" s="2"/>
      <c r="G11" s="2"/>
      <c r="H11" s="2">
        <v>-5</v>
      </c>
      <c r="I11" s="2"/>
      <c r="J11" s="2"/>
      <c r="K11" s="2"/>
      <c r="L11" s="2"/>
      <c r="M11" s="2">
        <v>-1</v>
      </c>
      <c r="N11" s="2">
        <v>-2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>
        <v>-2</v>
      </c>
      <c r="AB11" s="2"/>
      <c r="AC11" s="2"/>
      <c r="AD11" s="1">
        <f t="shared" si="0"/>
        <v>10</v>
      </c>
    </row>
    <row r="12" spans="1:30" x14ac:dyDescent="0.3">
      <c r="A12" s="2" t="s">
        <v>12</v>
      </c>
      <c r="B12" s="7" t="s">
        <v>67</v>
      </c>
      <c r="C12" s="15">
        <v>6.26</v>
      </c>
      <c r="D12" s="16">
        <v>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1">
        <f t="shared" si="0"/>
        <v>0</v>
      </c>
    </row>
    <row r="13" spans="1:30" ht="16.2" customHeight="1" x14ac:dyDescent="0.3">
      <c r="A13" s="10" t="s">
        <v>12</v>
      </c>
      <c r="B13" s="21" t="s">
        <v>95</v>
      </c>
      <c r="C13" s="14">
        <v>3.27</v>
      </c>
      <c r="D13" s="14">
        <v>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>
        <v>-1</v>
      </c>
      <c r="AA13" s="10"/>
      <c r="AB13" s="10"/>
      <c r="AC13" s="10"/>
      <c r="AD13" s="1">
        <f t="shared" si="0"/>
        <v>0</v>
      </c>
    </row>
    <row r="14" spans="1:30" x14ac:dyDescent="0.3">
      <c r="A14" s="2" t="s">
        <v>24</v>
      </c>
      <c r="B14" s="7" t="s">
        <v>111</v>
      </c>
      <c r="C14" s="15">
        <v>3.27</v>
      </c>
      <c r="D14" s="16">
        <v>31</v>
      </c>
      <c r="E14" s="2"/>
      <c r="F14" s="2"/>
      <c r="G14" s="2"/>
      <c r="H14" s="2"/>
      <c r="I14" s="2"/>
      <c r="J14" s="2">
        <v>-1</v>
      </c>
      <c r="K14" s="2">
        <v>-7</v>
      </c>
      <c r="L14" s="2">
        <v>50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>
        <v>-20</v>
      </c>
      <c r="X14" s="2"/>
      <c r="Y14" s="2"/>
      <c r="Z14" s="2">
        <v>-10</v>
      </c>
      <c r="AA14" s="2"/>
      <c r="AB14" s="2">
        <v>-2</v>
      </c>
      <c r="AC14" s="2"/>
      <c r="AD14" s="1">
        <f t="shared" si="0"/>
        <v>41</v>
      </c>
    </row>
    <row r="15" spans="1:30" x14ac:dyDescent="0.3">
      <c r="A15" s="2" t="s">
        <v>24</v>
      </c>
      <c r="B15" s="8" t="s">
        <v>102</v>
      </c>
      <c r="C15" s="15">
        <v>2.2027000000000001</v>
      </c>
      <c r="D15" s="16">
        <v>31</v>
      </c>
      <c r="E15" s="2"/>
      <c r="F15" s="2">
        <v>-3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>
        <v>-10</v>
      </c>
      <c r="Z15" s="2"/>
      <c r="AA15" s="2">
        <v>-15</v>
      </c>
      <c r="AB15" s="2"/>
      <c r="AC15" s="2"/>
      <c r="AD15" s="1">
        <f t="shared" si="0"/>
        <v>3</v>
      </c>
    </row>
    <row r="16" spans="1:30" x14ac:dyDescent="0.3">
      <c r="A16" s="10" t="s">
        <v>24</v>
      </c>
      <c r="B16" s="11" t="s">
        <v>76</v>
      </c>
      <c r="C16" s="14" t="s">
        <v>77</v>
      </c>
      <c r="D16" s="14">
        <v>6</v>
      </c>
      <c r="E16" s="10"/>
      <c r="F16" s="10"/>
      <c r="G16" s="10"/>
      <c r="H16" s="10"/>
      <c r="I16" s="10"/>
      <c r="J16" s="10"/>
      <c r="K16" s="10"/>
      <c r="L16" s="10"/>
      <c r="M16" s="10"/>
      <c r="N16" s="10">
        <v>-1</v>
      </c>
      <c r="O16" s="10"/>
      <c r="P16" s="10"/>
      <c r="Q16" s="10">
        <v>2</v>
      </c>
      <c r="R16" s="10">
        <v>-1</v>
      </c>
      <c r="S16" s="10"/>
      <c r="T16" s="10"/>
      <c r="U16" s="10">
        <v>-4</v>
      </c>
      <c r="V16" s="10"/>
      <c r="W16" s="10"/>
      <c r="X16" s="10"/>
      <c r="Y16" s="10"/>
      <c r="Z16" s="10"/>
      <c r="AA16" s="10"/>
      <c r="AB16" s="10"/>
      <c r="AC16" s="10"/>
      <c r="AD16" s="1">
        <f t="shared" si="0"/>
        <v>2</v>
      </c>
    </row>
    <row r="17" spans="1:30" x14ac:dyDescent="0.3">
      <c r="A17" s="2" t="s">
        <v>24</v>
      </c>
      <c r="B17" s="8" t="s">
        <v>76</v>
      </c>
      <c r="C17" s="15" t="s">
        <v>77</v>
      </c>
      <c r="D17" s="16">
        <v>1</v>
      </c>
      <c r="E17" s="2">
        <v>-1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1">
        <f t="shared" si="0"/>
        <v>0</v>
      </c>
    </row>
    <row r="18" spans="1:30" x14ac:dyDescent="0.3">
      <c r="A18" s="2" t="s">
        <v>30</v>
      </c>
      <c r="B18" s="8" t="s">
        <v>81</v>
      </c>
      <c r="C18" s="15">
        <v>10.2028</v>
      </c>
      <c r="D18" s="16">
        <v>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>
        <v>40</v>
      </c>
      <c r="U18" s="2"/>
      <c r="V18" s="2"/>
      <c r="W18" s="2"/>
      <c r="X18" s="2"/>
      <c r="Y18" s="2"/>
      <c r="Z18" s="2">
        <v>-3</v>
      </c>
      <c r="AA18" s="2"/>
      <c r="AB18" s="2"/>
      <c r="AC18" s="2"/>
      <c r="AD18" s="1">
        <f t="shared" si="0"/>
        <v>37</v>
      </c>
    </row>
    <row r="19" spans="1:30" x14ac:dyDescent="0.3">
      <c r="A19" s="10" t="s">
        <v>30</v>
      </c>
      <c r="B19" s="11" t="s">
        <v>81</v>
      </c>
      <c r="C19" s="14" t="s">
        <v>103</v>
      </c>
      <c r="D19" s="14">
        <v>31</v>
      </c>
      <c r="E19" s="10">
        <v>-5</v>
      </c>
      <c r="F19" s="10">
        <v>-1</v>
      </c>
      <c r="G19" s="10"/>
      <c r="H19" s="10">
        <v>-8</v>
      </c>
      <c r="I19" s="10">
        <v>10</v>
      </c>
      <c r="J19" s="10"/>
      <c r="K19" s="10">
        <v>-8</v>
      </c>
      <c r="L19" s="10"/>
      <c r="M19" s="10">
        <v>-3</v>
      </c>
      <c r="N19" s="10">
        <v>-6</v>
      </c>
      <c r="O19" s="10"/>
      <c r="P19" s="10"/>
      <c r="Q19" s="10"/>
      <c r="R19" s="10"/>
      <c r="S19" s="10">
        <v>-1</v>
      </c>
      <c r="T19" s="10"/>
      <c r="U19" s="10">
        <v>-2</v>
      </c>
      <c r="V19" s="10"/>
      <c r="W19" s="10"/>
      <c r="X19" s="10"/>
      <c r="Y19" s="10">
        <v>-4</v>
      </c>
      <c r="Z19" s="10">
        <v>-3</v>
      </c>
      <c r="AA19" s="10"/>
      <c r="AB19" s="10"/>
      <c r="AC19" s="10"/>
      <c r="AD19" s="1">
        <f t="shared" si="0"/>
        <v>0</v>
      </c>
    </row>
    <row r="20" spans="1:30" x14ac:dyDescent="0.3">
      <c r="A20" s="2" t="s">
        <v>55</v>
      </c>
      <c r="B20" s="8" t="s">
        <v>56</v>
      </c>
      <c r="C20" s="15">
        <v>4.2699999999999996</v>
      </c>
      <c r="D20" s="16">
        <v>16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1">
        <f t="shared" si="0"/>
        <v>16</v>
      </c>
    </row>
    <row r="21" spans="1:30" x14ac:dyDescent="0.3">
      <c r="A21" s="2" t="s">
        <v>57</v>
      </c>
      <c r="B21" s="8" t="s">
        <v>58</v>
      </c>
      <c r="C21" s="15">
        <v>5.27</v>
      </c>
      <c r="D21" s="16">
        <v>15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1">
        <f t="shared" si="0"/>
        <v>15</v>
      </c>
    </row>
    <row r="22" spans="1:30" x14ac:dyDescent="0.3">
      <c r="A22" s="10" t="s">
        <v>104</v>
      </c>
      <c r="B22" s="11"/>
      <c r="C22" s="14"/>
      <c r="D22" s="14">
        <v>1</v>
      </c>
      <c r="E22" s="10"/>
      <c r="F22" s="10"/>
      <c r="G22" s="10"/>
      <c r="H22" s="10"/>
      <c r="I22" s="10"/>
      <c r="J22" s="10"/>
      <c r="K22" s="10">
        <v>-1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">
        <f t="shared" si="0"/>
        <v>0</v>
      </c>
    </row>
    <row r="23" spans="1:30" x14ac:dyDescent="0.3">
      <c r="A23" s="2" t="s">
        <v>33</v>
      </c>
      <c r="B23" s="8" t="s">
        <v>112</v>
      </c>
      <c r="C23" s="15">
        <v>9.2027000000000001</v>
      </c>
      <c r="D23" s="16">
        <v>30</v>
      </c>
      <c r="E23" s="2"/>
      <c r="F23" s="2"/>
      <c r="G23" s="2"/>
      <c r="H23" s="2"/>
      <c r="I23" s="2"/>
      <c r="J23" s="2"/>
      <c r="K23" s="2">
        <v>-10</v>
      </c>
      <c r="L23" s="2"/>
      <c r="M23" s="2">
        <v>-1</v>
      </c>
      <c r="N23" s="2">
        <v>-1</v>
      </c>
      <c r="O23" s="2">
        <v>-3</v>
      </c>
      <c r="P23" s="2">
        <v>-2</v>
      </c>
      <c r="Q23" s="2"/>
      <c r="R23" s="2"/>
      <c r="S23" s="2">
        <v>-3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1">
        <f t="shared" si="0"/>
        <v>10</v>
      </c>
    </row>
    <row r="24" spans="1:30" x14ac:dyDescent="0.3">
      <c r="A24" s="2" t="s">
        <v>33</v>
      </c>
      <c r="B24" s="8" t="s">
        <v>74</v>
      </c>
      <c r="C24" s="15">
        <v>2.27</v>
      </c>
      <c r="D24" s="16">
        <v>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1">
        <f t="shared" si="0"/>
        <v>2</v>
      </c>
    </row>
    <row r="25" spans="1:30" x14ac:dyDescent="0.3">
      <c r="A25" s="2" t="s">
        <v>33</v>
      </c>
      <c r="B25" s="8" t="s">
        <v>83</v>
      </c>
      <c r="C25" s="15">
        <v>12.26</v>
      </c>
      <c r="D25" s="16">
        <v>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1">
        <f t="shared" si="0"/>
        <v>5</v>
      </c>
    </row>
    <row r="26" spans="1:30" x14ac:dyDescent="0.3">
      <c r="A26" s="2" t="s">
        <v>37</v>
      </c>
      <c r="B26" s="6" t="s">
        <v>38</v>
      </c>
      <c r="C26" s="15">
        <v>8.26</v>
      </c>
      <c r="D26" s="16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1">
        <f t="shared" si="0"/>
        <v>1</v>
      </c>
    </row>
    <row r="27" spans="1:30" x14ac:dyDescent="0.3">
      <c r="A27" s="2" t="s">
        <v>86</v>
      </c>
      <c r="B27" s="6" t="s">
        <v>87</v>
      </c>
      <c r="C27" s="15"/>
      <c r="D27" s="16">
        <v>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1">
        <f t="shared" si="0"/>
        <v>5</v>
      </c>
    </row>
    <row r="28" spans="1:30" x14ac:dyDescent="0.3">
      <c r="A28" s="2" t="s">
        <v>88</v>
      </c>
      <c r="B28" s="6" t="s">
        <v>89</v>
      </c>
      <c r="C28" s="15">
        <v>6.27</v>
      </c>
      <c r="D28" s="16">
        <v>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1">
        <f t="shared" si="0"/>
        <v>10</v>
      </c>
    </row>
    <row r="29" spans="1:30" x14ac:dyDescent="0.3">
      <c r="A29" s="1" t="s">
        <v>39</v>
      </c>
      <c r="B29" s="1"/>
      <c r="C29" s="16"/>
      <c r="D29" s="16">
        <v>491</v>
      </c>
      <c r="E29" s="1">
        <f>SUM(E3:E28)</f>
        <v>-6</v>
      </c>
      <c r="F29" s="1">
        <f>SUM(F3:F28)</f>
        <v>-4</v>
      </c>
      <c r="G29" s="1">
        <f>SUM(G3:G28)</f>
        <v>2</v>
      </c>
      <c r="H29" s="1">
        <f>SUM(H3:H28)</f>
        <v>-23</v>
      </c>
      <c r="I29" s="1">
        <f t="shared" ref="I29:AC29" si="1">SUM(I3:I28)</f>
        <v>10</v>
      </c>
      <c r="J29" s="1">
        <f t="shared" si="1"/>
        <v>-3</v>
      </c>
      <c r="K29" s="1">
        <f t="shared" si="1"/>
        <v>-44</v>
      </c>
      <c r="L29" s="1">
        <f t="shared" si="1"/>
        <v>150</v>
      </c>
      <c r="M29" s="1">
        <f t="shared" si="1"/>
        <v>-5</v>
      </c>
      <c r="N29" s="1">
        <f t="shared" si="1"/>
        <v>-19</v>
      </c>
      <c r="O29" s="1">
        <f t="shared" si="1"/>
        <v>-6</v>
      </c>
      <c r="P29" s="1">
        <f t="shared" si="1"/>
        <v>-2</v>
      </c>
      <c r="Q29" s="1">
        <f t="shared" si="1"/>
        <v>6</v>
      </c>
      <c r="R29" s="1">
        <f t="shared" si="1"/>
        <v>-8</v>
      </c>
      <c r="S29" s="1">
        <f t="shared" si="1"/>
        <v>-11</v>
      </c>
      <c r="T29" s="1">
        <f t="shared" si="1"/>
        <v>40</v>
      </c>
      <c r="U29" s="1">
        <f t="shared" si="1"/>
        <v>-21</v>
      </c>
      <c r="V29" s="1">
        <f t="shared" si="1"/>
        <v>0</v>
      </c>
      <c r="W29" s="1">
        <f t="shared" si="1"/>
        <v>-40</v>
      </c>
      <c r="X29" s="1">
        <f t="shared" si="1"/>
        <v>-12</v>
      </c>
      <c r="Y29" s="1">
        <f t="shared" si="1"/>
        <v>-15</v>
      </c>
      <c r="Z29" s="1">
        <f t="shared" si="1"/>
        <v>-25</v>
      </c>
      <c r="AA29" s="1">
        <f t="shared" si="1"/>
        <v>-22</v>
      </c>
      <c r="AB29" s="1">
        <f t="shared" si="1"/>
        <v>-8</v>
      </c>
      <c r="AC29" s="1">
        <f t="shared" si="1"/>
        <v>-7</v>
      </c>
      <c r="AD29" s="1">
        <f t="shared" si="0"/>
        <v>418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C603-60C4-46C6-B063-0BFC1E07B991}">
  <dimension ref="A1:AI27"/>
  <sheetViews>
    <sheetView workbookViewId="0">
      <selection activeCell="A12" sqref="A12:XFD12"/>
    </sheetView>
  </sheetViews>
  <sheetFormatPr defaultRowHeight="14.4" x14ac:dyDescent="0.3"/>
  <cols>
    <col min="1" max="1" width="24.88671875" bestFit="1" customWidth="1"/>
    <col min="2" max="2" width="9.44140625" bestFit="1" customWidth="1"/>
    <col min="3" max="3" width="10.109375" bestFit="1" customWidth="1"/>
    <col min="5" max="35" width="8.88671875" customWidth="1"/>
  </cols>
  <sheetData>
    <row r="1" spans="1:35" x14ac:dyDescent="0.3">
      <c r="A1" s="43" t="s">
        <v>117</v>
      </c>
      <c r="B1" s="43"/>
      <c r="C1" s="43"/>
      <c r="D1" s="16"/>
      <c r="E1" s="20">
        <v>37165</v>
      </c>
      <c r="F1" s="20">
        <v>37895</v>
      </c>
      <c r="G1" s="20">
        <v>38991</v>
      </c>
      <c r="H1" s="20">
        <v>39356</v>
      </c>
      <c r="I1" s="20">
        <v>39356</v>
      </c>
      <c r="J1" s="20">
        <v>39722</v>
      </c>
      <c r="K1" s="20">
        <v>40087</v>
      </c>
      <c r="L1" s="20">
        <v>40452</v>
      </c>
      <c r="M1" s="20">
        <v>41548</v>
      </c>
      <c r="N1" s="20">
        <v>41913</v>
      </c>
      <c r="O1" s="20">
        <v>42278</v>
      </c>
      <c r="P1" s="20">
        <v>42644</v>
      </c>
      <c r="Q1" s="20">
        <v>43009</v>
      </c>
      <c r="R1" s="20">
        <v>43009</v>
      </c>
      <c r="S1" s="20">
        <v>44105</v>
      </c>
      <c r="T1" s="20">
        <v>44470</v>
      </c>
      <c r="U1" s="20">
        <v>44470</v>
      </c>
      <c r="V1" s="20">
        <v>44835</v>
      </c>
      <c r="W1" s="20">
        <v>44835</v>
      </c>
      <c r="X1" s="20">
        <v>45200</v>
      </c>
      <c r="Y1" s="20">
        <v>45200</v>
      </c>
      <c r="Z1" s="20">
        <v>45566</v>
      </c>
      <c r="AA1" s="20">
        <v>46661</v>
      </c>
      <c r="AB1" s="20">
        <v>45566</v>
      </c>
      <c r="AC1" s="20">
        <v>47027</v>
      </c>
      <c r="AD1" s="20">
        <v>47392</v>
      </c>
      <c r="AE1" s="20">
        <v>47392</v>
      </c>
      <c r="AF1" s="20">
        <v>47392</v>
      </c>
      <c r="AG1" s="20">
        <v>11597</v>
      </c>
      <c r="AH1" s="20"/>
      <c r="AI1" s="16"/>
    </row>
    <row r="2" spans="1:35" x14ac:dyDescent="0.3">
      <c r="A2" s="1" t="s">
        <v>1</v>
      </c>
      <c r="B2" s="1" t="s">
        <v>2</v>
      </c>
      <c r="C2" s="1" t="s">
        <v>3</v>
      </c>
      <c r="D2" s="16"/>
      <c r="E2" s="16"/>
      <c r="F2" s="16"/>
      <c r="G2" s="16"/>
      <c r="H2" s="16"/>
      <c r="I2" s="16" t="s">
        <v>115</v>
      </c>
      <c r="J2" s="16"/>
      <c r="K2" s="16" t="s">
        <v>118</v>
      </c>
      <c r="L2" s="16"/>
      <c r="M2" s="16"/>
      <c r="N2" s="16"/>
      <c r="O2" s="16"/>
      <c r="P2" s="16" t="s">
        <v>118</v>
      </c>
      <c r="Q2" s="16"/>
      <c r="R2" s="16" t="s">
        <v>61</v>
      </c>
      <c r="S2" s="16"/>
      <c r="T2" s="16" t="s">
        <v>5</v>
      </c>
      <c r="U2" s="16"/>
      <c r="V2" s="16"/>
      <c r="W2" s="16" t="s">
        <v>5</v>
      </c>
      <c r="X2" s="16" t="s">
        <v>5</v>
      </c>
      <c r="Y2" s="16"/>
      <c r="Z2" s="16"/>
      <c r="AA2" s="16"/>
      <c r="AB2" s="16" t="s">
        <v>5</v>
      </c>
      <c r="AC2" s="16"/>
      <c r="AD2" s="16"/>
      <c r="AE2" s="16" t="s">
        <v>4</v>
      </c>
      <c r="AF2" s="16" t="s">
        <v>119</v>
      </c>
      <c r="AG2" s="16"/>
      <c r="AH2" s="16"/>
      <c r="AI2" s="16"/>
    </row>
    <row r="3" spans="1:35" x14ac:dyDescent="0.3">
      <c r="A3" s="2" t="s">
        <v>17</v>
      </c>
      <c r="B3" s="6" t="s">
        <v>92</v>
      </c>
      <c r="C3" s="15">
        <v>4.2699999999999996</v>
      </c>
      <c r="D3" s="16">
        <v>57</v>
      </c>
      <c r="E3" s="2"/>
      <c r="F3" s="2"/>
      <c r="G3" s="2"/>
      <c r="H3" s="2"/>
      <c r="I3" s="2"/>
      <c r="J3" s="2"/>
      <c r="K3" s="2"/>
      <c r="L3" s="2"/>
      <c r="M3" s="2"/>
      <c r="N3" s="2">
        <v>-2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>
        <v>-4</v>
      </c>
      <c r="AA3" s="2"/>
      <c r="AB3" s="2"/>
      <c r="AC3" s="2"/>
      <c r="AD3" s="2">
        <v>-7</v>
      </c>
      <c r="AE3" s="2"/>
      <c r="AF3" s="2">
        <v>-20</v>
      </c>
      <c r="AG3" s="2">
        <v>-2</v>
      </c>
      <c r="AH3" s="2"/>
      <c r="AI3" s="16">
        <f>SUM(D3:AH3)</f>
        <v>22</v>
      </c>
    </row>
    <row r="4" spans="1:35" x14ac:dyDescent="0.3">
      <c r="A4" s="2" t="s">
        <v>17</v>
      </c>
      <c r="B4" s="6" t="s">
        <v>116</v>
      </c>
      <c r="C4" s="15">
        <v>3.2027000000000001</v>
      </c>
      <c r="D4" s="16">
        <v>49</v>
      </c>
      <c r="E4" s="2">
        <v>-1</v>
      </c>
      <c r="F4" s="2">
        <v>-3</v>
      </c>
      <c r="G4" s="2"/>
      <c r="H4" s="2">
        <v>-7</v>
      </c>
      <c r="I4" s="2">
        <v>-30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>
        <v>-6</v>
      </c>
      <c r="AD4" s="2"/>
      <c r="AE4" s="2"/>
      <c r="AF4" s="2"/>
      <c r="AG4" s="2"/>
      <c r="AH4" s="2"/>
      <c r="AI4" s="16">
        <f t="shared" ref="AI4:AI27" si="0">SUM(D4:AH4)</f>
        <v>2</v>
      </c>
    </row>
    <row r="5" spans="1:35" x14ac:dyDescent="0.3">
      <c r="A5" s="2" t="s">
        <v>17</v>
      </c>
      <c r="B5" s="6" t="s">
        <v>108</v>
      </c>
      <c r="C5" s="15"/>
      <c r="D5" s="16">
        <v>63</v>
      </c>
      <c r="E5" s="2"/>
      <c r="F5" s="2"/>
      <c r="G5" s="2"/>
      <c r="H5" s="2"/>
      <c r="I5" s="2"/>
      <c r="J5" s="2">
        <v>-8</v>
      </c>
      <c r="K5" s="2"/>
      <c r="L5" s="2">
        <v>-21</v>
      </c>
      <c r="M5" s="2"/>
      <c r="N5" s="2">
        <v>-8</v>
      </c>
      <c r="O5" s="2"/>
      <c r="P5" s="2"/>
      <c r="Q5" s="2"/>
      <c r="R5" s="2"/>
      <c r="S5" s="2">
        <v>-4</v>
      </c>
      <c r="T5" s="2"/>
      <c r="U5" s="2">
        <v>-4</v>
      </c>
      <c r="V5" s="2">
        <v>-3</v>
      </c>
      <c r="W5" s="2"/>
      <c r="X5" s="2"/>
      <c r="Y5" s="2"/>
      <c r="Z5" s="2">
        <v>-15</v>
      </c>
      <c r="AA5" s="2"/>
      <c r="AB5" s="2"/>
      <c r="AC5" s="2"/>
      <c r="AD5" s="2"/>
      <c r="AE5" s="2"/>
      <c r="AF5" s="2"/>
      <c r="AG5" s="2"/>
      <c r="AH5" s="2"/>
      <c r="AI5" s="16">
        <f t="shared" si="0"/>
        <v>0</v>
      </c>
    </row>
    <row r="6" spans="1:35" x14ac:dyDescent="0.3">
      <c r="A6" s="10" t="s">
        <v>120</v>
      </c>
      <c r="B6" s="12"/>
      <c r="C6" s="14"/>
      <c r="D6" s="14">
        <v>0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>
        <v>4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>
        <v>-4</v>
      </c>
      <c r="AD6" s="10"/>
      <c r="AE6" s="10"/>
      <c r="AF6" s="10"/>
      <c r="AG6" s="10"/>
      <c r="AH6" s="10"/>
      <c r="AI6" s="16">
        <f t="shared" si="0"/>
        <v>0</v>
      </c>
    </row>
    <row r="7" spans="1:35" x14ac:dyDescent="0.3">
      <c r="A7" s="2" t="s">
        <v>6</v>
      </c>
      <c r="B7" s="7" t="s">
        <v>100</v>
      </c>
      <c r="C7" s="15" t="s">
        <v>101</v>
      </c>
      <c r="D7" s="16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16">
        <f t="shared" si="0"/>
        <v>1</v>
      </c>
    </row>
    <row r="8" spans="1:35" x14ac:dyDescent="0.3">
      <c r="A8" s="2" t="s">
        <v>93</v>
      </c>
      <c r="B8" s="7" t="s">
        <v>109</v>
      </c>
      <c r="C8" s="15">
        <v>5.2027000000000001</v>
      </c>
      <c r="D8" s="16">
        <v>7</v>
      </c>
      <c r="E8" s="2"/>
      <c r="F8" s="2">
        <v>-3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16">
        <f t="shared" si="0"/>
        <v>4</v>
      </c>
    </row>
    <row r="9" spans="1:35" x14ac:dyDescent="0.3">
      <c r="A9" s="2" t="s">
        <v>93</v>
      </c>
      <c r="B9" s="7" t="s">
        <v>94</v>
      </c>
      <c r="C9" s="15">
        <v>3.27</v>
      </c>
      <c r="D9" s="16">
        <v>41</v>
      </c>
      <c r="E9" s="2"/>
      <c r="F9" s="2"/>
      <c r="G9" s="2">
        <v>-3</v>
      </c>
      <c r="H9" s="2"/>
      <c r="I9" s="2"/>
      <c r="J9" s="2"/>
      <c r="K9" s="2"/>
      <c r="L9" s="2"/>
      <c r="M9" s="2">
        <v>-4</v>
      </c>
      <c r="N9" s="2"/>
      <c r="O9" s="2"/>
      <c r="P9" s="2"/>
      <c r="Q9" s="2"/>
      <c r="R9" s="2"/>
      <c r="S9" s="2"/>
      <c r="T9" s="2"/>
      <c r="U9" s="2">
        <v>-1</v>
      </c>
      <c r="V9" s="2">
        <v>-10</v>
      </c>
      <c r="W9" s="2"/>
      <c r="X9" s="2"/>
      <c r="Y9" s="2"/>
      <c r="Z9" s="2">
        <v>-1</v>
      </c>
      <c r="AA9" s="2">
        <v>-3</v>
      </c>
      <c r="AB9" s="2"/>
      <c r="AC9" s="2">
        <v>-3</v>
      </c>
      <c r="AD9" s="2"/>
      <c r="AE9" s="2"/>
      <c r="AF9" s="2"/>
      <c r="AG9" s="2"/>
      <c r="AH9" s="2"/>
      <c r="AI9" s="16">
        <f t="shared" si="0"/>
        <v>16</v>
      </c>
    </row>
    <row r="10" spans="1:35" x14ac:dyDescent="0.3">
      <c r="A10" s="2" t="s">
        <v>6</v>
      </c>
      <c r="B10" s="7"/>
      <c r="C10" s="15"/>
      <c r="D10" s="16">
        <v>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>
        <v>30</v>
      </c>
      <c r="Y10" s="2">
        <v>-2</v>
      </c>
      <c r="Z10" s="2"/>
      <c r="AA10" s="2"/>
      <c r="AB10" s="2">
        <v>40</v>
      </c>
      <c r="AC10" s="2"/>
      <c r="AD10" s="2"/>
      <c r="AE10" s="2"/>
      <c r="AF10" s="2">
        <v>-30</v>
      </c>
      <c r="AG10" s="2"/>
      <c r="AH10" s="2"/>
      <c r="AI10" s="16">
        <f t="shared" si="0"/>
        <v>38</v>
      </c>
    </row>
    <row r="11" spans="1:35" x14ac:dyDescent="0.3">
      <c r="A11" s="2" t="s">
        <v>12</v>
      </c>
      <c r="B11" s="7" t="s">
        <v>110</v>
      </c>
      <c r="C11" s="15">
        <v>7.2027000000000001</v>
      </c>
      <c r="D11" s="16">
        <v>10</v>
      </c>
      <c r="E11" s="2"/>
      <c r="F11" s="2">
        <v>-1</v>
      </c>
      <c r="G11" s="2"/>
      <c r="H11" s="2">
        <v>-5</v>
      </c>
      <c r="I11" s="2"/>
      <c r="J11" s="2">
        <v>-1</v>
      </c>
      <c r="K11" s="2"/>
      <c r="L11" s="2"/>
      <c r="M11" s="2"/>
      <c r="N11" s="2">
        <v>-2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>
        <v>10</v>
      </c>
      <c r="AC11" s="2"/>
      <c r="AD11" s="2">
        <v>-2</v>
      </c>
      <c r="AE11" s="2"/>
      <c r="AF11" s="2"/>
      <c r="AG11" s="2"/>
      <c r="AH11" s="2"/>
      <c r="AI11" s="16">
        <f t="shared" si="0"/>
        <v>9</v>
      </c>
    </row>
    <row r="12" spans="1:35" x14ac:dyDescent="0.3">
      <c r="A12" s="2" t="s">
        <v>121</v>
      </c>
      <c r="B12" s="7"/>
      <c r="C12" s="15"/>
      <c r="D12" s="16">
        <v>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>
        <v>1</v>
      </c>
      <c r="X12" s="2"/>
      <c r="Y12" s="2">
        <v>-1</v>
      </c>
      <c r="Z12" s="2"/>
      <c r="AA12" s="2"/>
      <c r="AB12" s="2">
        <v>10</v>
      </c>
      <c r="AC12" s="2"/>
      <c r="AD12" s="2"/>
      <c r="AE12" s="2"/>
      <c r="AF12" s="2"/>
      <c r="AG12" s="2"/>
      <c r="AH12" s="2"/>
      <c r="AI12" s="16">
        <f t="shared" si="0"/>
        <v>10</v>
      </c>
    </row>
    <row r="13" spans="1:35" x14ac:dyDescent="0.3">
      <c r="A13" s="2" t="s">
        <v>122</v>
      </c>
      <c r="B13" s="7"/>
      <c r="C13" s="15"/>
      <c r="D13" s="16">
        <v>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>
        <v>11</v>
      </c>
      <c r="U13" s="2">
        <v>-2</v>
      </c>
      <c r="V13" s="2"/>
      <c r="W13" s="2"/>
      <c r="X13" s="2"/>
      <c r="Y13" s="2"/>
      <c r="Z13" s="2">
        <v>-3</v>
      </c>
      <c r="AA13" s="2"/>
      <c r="AB13" s="2"/>
      <c r="AC13" s="2"/>
      <c r="AD13" s="2"/>
      <c r="AE13" s="2"/>
      <c r="AF13" s="2"/>
      <c r="AG13" s="2"/>
      <c r="AH13" s="2"/>
      <c r="AI13" s="16">
        <f t="shared" si="0"/>
        <v>6</v>
      </c>
    </row>
    <row r="14" spans="1:35" x14ac:dyDescent="0.3">
      <c r="A14" s="2" t="s">
        <v>24</v>
      </c>
      <c r="B14" s="7" t="s">
        <v>111</v>
      </c>
      <c r="C14" s="15">
        <v>3.27</v>
      </c>
      <c r="D14" s="16">
        <v>41</v>
      </c>
      <c r="E14" s="2"/>
      <c r="F14" s="2">
        <v>-1</v>
      </c>
      <c r="G14" s="2"/>
      <c r="H14" s="2">
        <v>-4</v>
      </c>
      <c r="I14" s="2">
        <v>-30</v>
      </c>
      <c r="J14" s="2">
        <v>-2</v>
      </c>
      <c r="K14" s="2"/>
      <c r="L14" s="2">
        <v>-4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16">
        <f t="shared" si="0"/>
        <v>0</v>
      </c>
    </row>
    <row r="15" spans="1:35" x14ac:dyDescent="0.3">
      <c r="A15" s="2" t="s">
        <v>24</v>
      </c>
      <c r="B15" s="7" t="s">
        <v>123</v>
      </c>
      <c r="C15" s="15">
        <v>5.2027000000000001</v>
      </c>
      <c r="D15" s="16">
        <v>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>
        <v>50</v>
      </c>
      <c r="Q15" s="2">
        <v>-14</v>
      </c>
      <c r="R15" s="2"/>
      <c r="S15" s="2">
        <v>-7</v>
      </c>
      <c r="T15" s="2"/>
      <c r="U15" s="2">
        <v>-3</v>
      </c>
      <c r="V15" s="2">
        <v>-4</v>
      </c>
      <c r="W15" s="2"/>
      <c r="X15" s="2"/>
      <c r="Y15" s="2"/>
      <c r="Z15" s="2">
        <v>-1</v>
      </c>
      <c r="AA15" s="2"/>
      <c r="AB15" s="2"/>
      <c r="AC15" s="2">
        <v>-12</v>
      </c>
      <c r="AD15" s="2">
        <v>-5</v>
      </c>
      <c r="AE15" s="2">
        <v>70</v>
      </c>
      <c r="AF15" s="2">
        <v>-40</v>
      </c>
      <c r="AG15" s="2">
        <v>-16</v>
      </c>
      <c r="AH15" s="2"/>
      <c r="AI15" s="16">
        <f t="shared" si="0"/>
        <v>18</v>
      </c>
    </row>
    <row r="16" spans="1:35" x14ac:dyDescent="0.3">
      <c r="A16" s="2" t="s">
        <v>24</v>
      </c>
      <c r="B16" s="8" t="s">
        <v>102</v>
      </c>
      <c r="C16" s="15">
        <v>2.2027000000000001</v>
      </c>
      <c r="D16" s="16">
        <v>3</v>
      </c>
      <c r="E16" s="2"/>
      <c r="F16" s="2"/>
      <c r="G16" s="2"/>
      <c r="H16" s="2"/>
      <c r="I16" s="2"/>
      <c r="J16" s="2">
        <v>-2</v>
      </c>
      <c r="K16" s="2"/>
      <c r="L16" s="2">
        <v>-1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16">
        <f t="shared" si="0"/>
        <v>0</v>
      </c>
    </row>
    <row r="17" spans="1:35" x14ac:dyDescent="0.3">
      <c r="A17" s="10" t="s">
        <v>24</v>
      </c>
      <c r="B17" s="11" t="s">
        <v>76</v>
      </c>
      <c r="C17" s="14" t="s">
        <v>77</v>
      </c>
      <c r="D17" s="14">
        <v>2</v>
      </c>
      <c r="E17" s="10"/>
      <c r="F17" s="10">
        <v>-2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6">
        <f t="shared" si="0"/>
        <v>0</v>
      </c>
    </row>
    <row r="18" spans="1:35" x14ac:dyDescent="0.3">
      <c r="A18" s="2" t="s">
        <v>30</v>
      </c>
      <c r="B18" s="8" t="s">
        <v>81</v>
      </c>
      <c r="C18" s="15">
        <v>10.2028</v>
      </c>
      <c r="D18" s="16">
        <v>37</v>
      </c>
      <c r="E18" s="2"/>
      <c r="F18" s="2">
        <v>-1</v>
      </c>
      <c r="G18" s="2"/>
      <c r="H18" s="2"/>
      <c r="I18" s="2"/>
      <c r="J18" s="2">
        <v>-4</v>
      </c>
      <c r="K18" s="2">
        <v>17</v>
      </c>
      <c r="L18" s="2">
        <v>-2</v>
      </c>
      <c r="M18" s="2"/>
      <c r="N18" s="2"/>
      <c r="O18" s="2"/>
      <c r="P18" s="2"/>
      <c r="Q18" s="2">
        <v>-10</v>
      </c>
      <c r="R18" s="2"/>
      <c r="S18" s="2">
        <v>-3</v>
      </c>
      <c r="T18" s="2"/>
      <c r="U18" s="2"/>
      <c r="V18" s="2"/>
      <c r="W18" s="2"/>
      <c r="X18" s="2"/>
      <c r="Y18" s="2"/>
      <c r="Z18" s="2"/>
      <c r="AA18" s="2">
        <v>-3</v>
      </c>
      <c r="AB18" s="2"/>
      <c r="AC18" s="2"/>
      <c r="AD18" s="2">
        <v>-9</v>
      </c>
      <c r="AE18" s="2"/>
      <c r="AF18" s="2"/>
      <c r="AG18" s="2">
        <v>-11</v>
      </c>
      <c r="AH18" s="2"/>
      <c r="AI18" s="16">
        <f t="shared" si="0"/>
        <v>11</v>
      </c>
    </row>
    <row r="19" spans="1:35" x14ac:dyDescent="0.3">
      <c r="A19" s="2" t="s">
        <v>55</v>
      </c>
      <c r="B19" s="8" t="s">
        <v>56</v>
      </c>
      <c r="C19" s="15">
        <v>4.2699999999999996</v>
      </c>
      <c r="D19" s="16">
        <v>16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>
        <v>-1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16">
        <f t="shared" si="0"/>
        <v>15</v>
      </c>
    </row>
    <row r="20" spans="1:35" x14ac:dyDescent="0.3">
      <c r="A20" s="2" t="s">
        <v>57</v>
      </c>
      <c r="B20" s="8" t="s">
        <v>58</v>
      </c>
      <c r="C20" s="15">
        <v>5.27</v>
      </c>
      <c r="D20" s="16">
        <v>15</v>
      </c>
      <c r="E20" s="2"/>
      <c r="F20" s="2"/>
      <c r="G20" s="2"/>
      <c r="H20" s="2"/>
      <c r="I20" s="2"/>
      <c r="J20" s="2"/>
      <c r="K20" s="2"/>
      <c r="L20" s="2">
        <v>-1</v>
      </c>
      <c r="M20" s="2"/>
      <c r="N20" s="2"/>
      <c r="O20" s="2"/>
      <c r="P20" s="2"/>
      <c r="Q20" s="2"/>
      <c r="R20" s="2"/>
      <c r="S20" s="2">
        <v>-1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16">
        <f t="shared" si="0"/>
        <v>13</v>
      </c>
    </row>
    <row r="21" spans="1:35" x14ac:dyDescent="0.3">
      <c r="A21" s="2" t="s">
        <v>33</v>
      </c>
      <c r="B21" s="8" t="s">
        <v>112</v>
      </c>
      <c r="C21" s="15">
        <v>9.2027000000000001</v>
      </c>
      <c r="D21" s="16">
        <v>10</v>
      </c>
      <c r="E21" s="2"/>
      <c r="F21" s="2"/>
      <c r="G21" s="2"/>
      <c r="H21" s="2"/>
      <c r="I21" s="2"/>
      <c r="J21" s="2">
        <v>-1</v>
      </c>
      <c r="K21" s="2"/>
      <c r="L21" s="2">
        <v>-1</v>
      </c>
      <c r="M21" s="2"/>
      <c r="N21" s="2"/>
      <c r="O21" s="2"/>
      <c r="P21" s="2"/>
      <c r="Q21" s="2">
        <v>-1</v>
      </c>
      <c r="R21" s="2"/>
      <c r="S21" s="2"/>
      <c r="T21" s="2"/>
      <c r="U21" s="2"/>
      <c r="V21" s="2"/>
      <c r="W21" s="2"/>
      <c r="X21" s="2"/>
      <c r="Y21" s="2"/>
      <c r="Z21" s="2">
        <v>-4</v>
      </c>
      <c r="AA21" s="2"/>
      <c r="AB21" s="2"/>
      <c r="AC21" s="2"/>
      <c r="AD21" s="2"/>
      <c r="AE21" s="2"/>
      <c r="AF21" s="2"/>
      <c r="AG21" s="2"/>
      <c r="AH21" s="2"/>
      <c r="AI21" s="16">
        <f t="shared" si="0"/>
        <v>3</v>
      </c>
    </row>
    <row r="22" spans="1:35" x14ac:dyDescent="0.3">
      <c r="A22" s="2" t="s">
        <v>33</v>
      </c>
      <c r="B22" s="8" t="s">
        <v>74</v>
      </c>
      <c r="C22" s="15">
        <v>2.27</v>
      </c>
      <c r="D22" s="16">
        <v>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>
        <v>10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16">
        <f t="shared" si="0"/>
        <v>12</v>
      </c>
    </row>
    <row r="23" spans="1:35" x14ac:dyDescent="0.3">
      <c r="A23" s="2" t="s">
        <v>33</v>
      </c>
      <c r="B23" s="8" t="s">
        <v>83</v>
      </c>
      <c r="C23" s="15">
        <v>12.26</v>
      </c>
      <c r="D23" s="16">
        <v>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16">
        <f t="shared" si="0"/>
        <v>5</v>
      </c>
    </row>
    <row r="24" spans="1:35" x14ac:dyDescent="0.3">
      <c r="A24" s="2" t="s">
        <v>37</v>
      </c>
      <c r="B24" s="6" t="s">
        <v>38</v>
      </c>
      <c r="C24" s="15">
        <v>8.26</v>
      </c>
      <c r="D24" s="16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16">
        <f t="shared" si="0"/>
        <v>1</v>
      </c>
    </row>
    <row r="25" spans="1:35" x14ac:dyDescent="0.3">
      <c r="A25" s="2" t="s">
        <v>86</v>
      </c>
      <c r="B25" s="6" t="s">
        <v>87</v>
      </c>
      <c r="C25" s="15"/>
      <c r="D25" s="16">
        <v>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>
        <v>-1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16">
        <f t="shared" si="0"/>
        <v>4</v>
      </c>
    </row>
    <row r="26" spans="1:35" x14ac:dyDescent="0.3">
      <c r="A26" s="2" t="s">
        <v>88</v>
      </c>
      <c r="B26" s="6" t="s">
        <v>89</v>
      </c>
      <c r="C26" s="15">
        <v>6.27</v>
      </c>
      <c r="D26" s="16">
        <v>10</v>
      </c>
      <c r="E26" s="2"/>
      <c r="F26" s="2"/>
      <c r="G26" s="2"/>
      <c r="H26" s="2"/>
      <c r="I26" s="2"/>
      <c r="J26" s="2"/>
      <c r="K26" s="2"/>
      <c r="L26" s="2">
        <v>-3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16">
        <f t="shared" si="0"/>
        <v>7</v>
      </c>
    </row>
    <row r="27" spans="1:35" x14ac:dyDescent="0.3">
      <c r="A27" s="1" t="s">
        <v>39</v>
      </c>
      <c r="B27" s="1"/>
      <c r="C27" s="16"/>
      <c r="D27" s="16">
        <v>418</v>
      </c>
      <c r="E27" s="16">
        <f t="shared" ref="E27:AH27" si="1">SUM(E3:E26)</f>
        <v>-1</v>
      </c>
      <c r="F27" s="16">
        <f t="shared" si="1"/>
        <v>-11</v>
      </c>
      <c r="G27" s="16">
        <f t="shared" si="1"/>
        <v>-3</v>
      </c>
      <c r="H27" s="16">
        <f t="shared" si="1"/>
        <v>-16</v>
      </c>
      <c r="I27" s="16">
        <f t="shared" si="1"/>
        <v>-60</v>
      </c>
      <c r="J27" s="16">
        <f t="shared" si="1"/>
        <v>-18</v>
      </c>
      <c r="K27" s="16">
        <f t="shared" si="1"/>
        <v>17</v>
      </c>
      <c r="L27" s="16">
        <f t="shared" si="1"/>
        <v>-33</v>
      </c>
      <c r="M27" s="16">
        <f t="shared" si="1"/>
        <v>-4</v>
      </c>
      <c r="N27" s="16">
        <f t="shared" si="1"/>
        <v>-12</v>
      </c>
      <c r="O27" s="16">
        <f t="shared" si="1"/>
        <v>-1</v>
      </c>
      <c r="P27" s="16">
        <f t="shared" si="1"/>
        <v>50</v>
      </c>
      <c r="Q27" s="16">
        <f t="shared" si="1"/>
        <v>-25</v>
      </c>
      <c r="R27" s="16">
        <f t="shared" si="1"/>
        <v>4</v>
      </c>
      <c r="S27" s="16">
        <f t="shared" si="1"/>
        <v>-16</v>
      </c>
      <c r="T27" s="16">
        <f t="shared" si="1"/>
        <v>11</v>
      </c>
      <c r="U27" s="16">
        <f t="shared" si="1"/>
        <v>-10</v>
      </c>
      <c r="V27" s="16">
        <f t="shared" si="1"/>
        <v>-17</v>
      </c>
      <c r="W27" s="16">
        <f t="shared" si="1"/>
        <v>1</v>
      </c>
      <c r="X27" s="16">
        <f t="shared" si="1"/>
        <v>40</v>
      </c>
      <c r="Y27" s="16">
        <f t="shared" si="1"/>
        <v>-3</v>
      </c>
      <c r="Z27" s="16">
        <f t="shared" si="1"/>
        <v>-28</v>
      </c>
      <c r="AA27" s="16">
        <f t="shared" si="1"/>
        <v>-6</v>
      </c>
      <c r="AB27" s="16">
        <f t="shared" si="1"/>
        <v>60</v>
      </c>
      <c r="AC27" s="16">
        <f t="shared" si="1"/>
        <v>-25</v>
      </c>
      <c r="AD27" s="16">
        <f t="shared" si="1"/>
        <v>-23</v>
      </c>
      <c r="AE27" s="16">
        <f t="shared" si="1"/>
        <v>70</v>
      </c>
      <c r="AF27" s="16">
        <f t="shared" si="1"/>
        <v>-90</v>
      </c>
      <c r="AG27" s="16">
        <f t="shared" si="1"/>
        <v>-29</v>
      </c>
      <c r="AH27" s="16">
        <f t="shared" si="1"/>
        <v>0</v>
      </c>
      <c r="AI27" s="16">
        <f t="shared" si="0"/>
        <v>240</v>
      </c>
    </row>
  </sheetData>
  <mergeCells count="1">
    <mergeCell ref="A1:C1"/>
  </mergeCells>
  <phoneticPr fontId="2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F5BE-98A5-4439-B8E2-2875707DD036}">
  <dimension ref="A1:AB18"/>
  <sheetViews>
    <sheetView workbookViewId="0">
      <selection activeCell="T33" sqref="T33"/>
    </sheetView>
  </sheetViews>
  <sheetFormatPr defaultRowHeight="14.4" x14ac:dyDescent="0.3"/>
  <cols>
    <col min="1" max="1" width="23.109375" customWidth="1"/>
    <col min="5" max="27" width="8.88671875" customWidth="1"/>
  </cols>
  <sheetData>
    <row r="1" spans="1:28" x14ac:dyDescent="0.3">
      <c r="A1" s="29" t="s">
        <v>124</v>
      </c>
      <c r="B1" s="16"/>
      <c r="C1" s="20">
        <v>37926</v>
      </c>
      <c r="D1" s="20">
        <v>38292</v>
      </c>
      <c r="E1" s="20">
        <v>38292</v>
      </c>
      <c r="F1" s="20">
        <v>38657</v>
      </c>
      <c r="G1" s="20">
        <v>39387</v>
      </c>
      <c r="H1" s="20">
        <v>39387</v>
      </c>
      <c r="I1" s="20">
        <v>40483</v>
      </c>
      <c r="J1" s="20">
        <v>40848</v>
      </c>
      <c r="K1" s="20">
        <v>41214</v>
      </c>
      <c r="L1" s="20">
        <v>41214</v>
      </c>
      <c r="M1" s="20">
        <v>41214</v>
      </c>
      <c r="N1" s="20">
        <v>41579</v>
      </c>
      <c r="O1" s="20">
        <v>41579</v>
      </c>
      <c r="P1" s="20">
        <v>41944</v>
      </c>
      <c r="Q1" s="20">
        <v>41944</v>
      </c>
      <c r="R1" s="20">
        <v>43040</v>
      </c>
      <c r="S1" s="20">
        <v>43405</v>
      </c>
      <c r="T1" s="20">
        <v>43405</v>
      </c>
      <c r="U1" s="20">
        <v>43770</v>
      </c>
      <c r="V1" s="20">
        <v>44501</v>
      </c>
      <c r="W1" s="20">
        <v>44501</v>
      </c>
      <c r="X1" s="20">
        <v>45597</v>
      </c>
      <c r="Y1" s="20">
        <v>45962</v>
      </c>
      <c r="Z1" s="20">
        <v>45962</v>
      </c>
      <c r="AA1" s="20">
        <v>47058</v>
      </c>
      <c r="AB1" s="16"/>
    </row>
    <row r="2" spans="1:28" x14ac:dyDescent="0.3">
      <c r="A2" s="1" t="s">
        <v>1</v>
      </c>
      <c r="B2" s="16"/>
      <c r="C2" s="16"/>
      <c r="D2" s="16"/>
      <c r="E2" s="16" t="s">
        <v>125</v>
      </c>
      <c r="F2" s="16" t="s">
        <v>61</v>
      </c>
      <c r="G2" s="16" t="s">
        <v>5</v>
      </c>
      <c r="H2" s="16"/>
      <c r="I2" s="16"/>
      <c r="J2" s="16"/>
      <c r="K2" s="16" t="s">
        <v>98</v>
      </c>
      <c r="L2" s="16"/>
      <c r="M2" s="16" t="s">
        <v>5</v>
      </c>
      <c r="N2" s="16"/>
      <c r="O2" s="16" t="s">
        <v>4</v>
      </c>
      <c r="P2" s="16" t="s">
        <v>4</v>
      </c>
      <c r="Q2" s="16"/>
      <c r="R2" s="16"/>
      <c r="S2" s="16" t="s">
        <v>4</v>
      </c>
      <c r="T2" s="16"/>
      <c r="U2" s="16"/>
      <c r="V2" s="16" t="s">
        <v>5</v>
      </c>
      <c r="W2" s="16"/>
      <c r="X2" s="16"/>
      <c r="Y2" s="16"/>
      <c r="Z2" s="16" t="s">
        <v>5</v>
      </c>
      <c r="AA2" s="16"/>
      <c r="AB2" s="16"/>
    </row>
    <row r="3" spans="1:28" x14ac:dyDescent="0.3">
      <c r="A3" s="2" t="s">
        <v>17</v>
      </c>
      <c r="B3" s="16">
        <v>24</v>
      </c>
      <c r="C3" s="2">
        <v>-3</v>
      </c>
      <c r="D3" s="2">
        <v>-5</v>
      </c>
      <c r="E3" s="2"/>
      <c r="F3" s="2">
        <v>4</v>
      </c>
      <c r="G3" s="2"/>
      <c r="H3" s="2">
        <v>-6</v>
      </c>
      <c r="I3" s="2">
        <v>-4</v>
      </c>
      <c r="J3" s="2">
        <v>-3</v>
      </c>
      <c r="K3" s="2">
        <v>2</v>
      </c>
      <c r="L3" s="2">
        <v>-4</v>
      </c>
      <c r="M3" s="2"/>
      <c r="N3" s="2"/>
      <c r="O3" s="2"/>
      <c r="P3" s="2"/>
      <c r="Q3" s="2">
        <v>-5</v>
      </c>
      <c r="R3" s="2"/>
      <c r="S3" s="2"/>
      <c r="T3" s="2"/>
      <c r="U3" s="2"/>
      <c r="V3" s="2"/>
      <c r="W3" s="2"/>
      <c r="X3" s="2"/>
      <c r="Y3" s="2"/>
      <c r="Z3" s="2"/>
      <c r="AA3" s="2"/>
      <c r="AB3" s="16">
        <f>SUM(B3:AA3)</f>
        <v>0</v>
      </c>
    </row>
    <row r="4" spans="1:28" x14ac:dyDescent="0.3">
      <c r="A4" s="2" t="s">
        <v>6</v>
      </c>
      <c r="B4" s="16">
        <v>59</v>
      </c>
      <c r="C4" s="2"/>
      <c r="D4" s="2"/>
      <c r="E4" s="2"/>
      <c r="F4" s="2"/>
      <c r="G4" s="2"/>
      <c r="H4" s="2">
        <v>-4</v>
      </c>
      <c r="I4" s="2"/>
      <c r="J4" s="2"/>
      <c r="K4" s="2"/>
      <c r="L4" s="2">
        <v>-2</v>
      </c>
      <c r="M4" s="2"/>
      <c r="N4" s="2"/>
      <c r="O4" s="2"/>
      <c r="P4" s="2"/>
      <c r="Q4" s="2"/>
      <c r="R4" s="2"/>
      <c r="S4" s="2">
        <v>33</v>
      </c>
      <c r="T4" s="2"/>
      <c r="U4" s="2">
        <v>-8</v>
      </c>
      <c r="V4" s="2"/>
      <c r="W4" s="2">
        <v>-2</v>
      </c>
      <c r="X4" s="2"/>
      <c r="Y4" s="2">
        <v>-7</v>
      </c>
      <c r="Z4" s="2"/>
      <c r="AA4" s="2">
        <v>-20</v>
      </c>
      <c r="AB4" s="16">
        <f t="shared" ref="AB4:AB18" si="0">SUM(B4:AA4)</f>
        <v>49</v>
      </c>
    </row>
    <row r="5" spans="1:28" x14ac:dyDescent="0.3">
      <c r="A5" s="2" t="s">
        <v>126</v>
      </c>
      <c r="B5" s="16">
        <v>0</v>
      </c>
      <c r="C5" s="2"/>
      <c r="D5" s="2"/>
      <c r="E5" s="2">
        <v>50</v>
      </c>
      <c r="F5" s="2"/>
      <c r="G5" s="2"/>
      <c r="H5" s="2">
        <v>-36</v>
      </c>
      <c r="I5" s="2"/>
      <c r="J5" s="2"/>
      <c r="K5" s="2"/>
      <c r="L5" s="2"/>
      <c r="M5" s="2"/>
      <c r="N5" s="2"/>
      <c r="O5" s="2">
        <v>50</v>
      </c>
      <c r="P5" s="2"/>
      <c r="Q5" s="2">
        <v>-15</v>
      </c>
      <c r="R5" s="2">
        <v>-6</v>
      </c>
      <c r="S5" s="2"/>
      <c r="T5" s="2">
        <v>-6</v>
      </c>
      <c r="U5" s="2"/>
      <c r="V5" s="2"/>
      <c r="W5" s="2">
        <v>-30</v>
      </c>
      <c r="X5" s="2"/>
      <c r="Y5" s="2">
        <v>-7</v>
      </c>
      <c r="Z5" s="2"/>
      <c r="AA5" s="2"/>
      <c r="AB5" s="16">
        <f t="shared" si="0"/>
        <v>0</v>
      </c>
    </row>
    <row r="6" spans="1:28" x14ac:dyDescent="0.3">
      <c r="A6" s="2" t="s">
        <v>12</v>
      </c>
      <c r="B6" s="16">
        <v>9</v>
      </c>
      <c r="C6" s="2"/>
      <c r="D6" s="2">
        <v>-1</v>
      </c>
      <c r="E6" s="2"/>
      <c r="F6" s="2"/>
      <c r="G6" s="2"/>
      <c r="H6" s="2">
        <v>-7</v>
      </c>
      <c r="I6" s="2"/>
      <c r="J6" s="2"/>
      <c r="K6" s="2"/>
      <c r="L6" s="2"/>
      <c r="M6" s="2"/>
      <c r="N6" s="2"/>
      <c r="O6" s="2"/>
      <c r="P6" s="2">
        <v>8</v>
      </c>
      <c r="Q6" s="2">
        <v>-4</v>
      </c>
      <c r="R6" s="2"/>
      <c r="S6" s="2"/>
      <c r="T6" s="2"/>
      <c r="U6" s="2"/>
      <c r="V6" s="2"/>
      <c r="W6" s="2"/>
      <c r="X6" s="2"/>
      <c r="Y6" s="2"/>
      <c r="Z6" s="2"/>
      <c r="AA6" s="2"/>
      <c r="AB6" s="16">
        <f t="shared" si="0"/>
        <v>5</v>
      </c>
    </row>
    <row r="7" spans="1:28" x14ac:dyDescent="0.3">
      <c r="A7" s="2" t="s">
        <v>121</v>
      </c>
      <c r="B7" s="16">
        <v>10</v>
      </c>
      <c r="C7" s="2"/>
      <c r="D7" s="2"/>
      <c r="E7" s="2"/>
      <c r="F7" s="2">
        <v>-1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>
        <v>-1</v>
      </c>
      <c r="X7" s="2"/>
      <c r="Y7" s="2"/>
      <c r="Z7" s="2"/>
      <c r="AA7" s="2"/>
      <c r="AB7" s="16">
        <f t="shared" si="0"/>
        <v>8</v>
      </c>
    </row>
    <row r="8" spans="1:28" x14ac:dyDescent="0.3">
      <c r="A8" s="2" t="s">
        <v>122</v>
      </c>
      <c r="B8" s="16">
        <v>6</v>
      </c>
      <c r="C8" s="2"/>
      <c r="D8" s="2"/>
      <c r="E8" s="2"/>
      <c r="F8" s="2"/>
      <c r="G8" s="2"/>
      <c r="H8" s="2">
        <v>-7</v>
      </c>
      <c r="I8" s="2"/>
      <c r="J8" s="2">
        <v>-2</v>
      </c>
      <c r="K8" s="2"/>
      <c r="L8" s="2">
        <v>-1</v>
      </c>
      <c r="M8" s="2"/>
      <c r="N8" s="2"/>
      <c r="O8" s="2"/>
      <c r="P8" s="2"/>
      <c r="Q8" s="2"/>
      <c r="R8" s="2"/>
      <c r="S8" s="2"/>
      <c r="T8" s="2"/>
      <c r="U8" s="2"/>
      <c r="V8" s="2">
        <v>15</v>
      </c>
      <c r="W8" s="2">
        <v>-2</v>
      </c>
      <c r="X8" s="2">
        <v>-4</v>
      </c>
      <c r="Y8" s="2"/>
      <c r="Z8" s="2"/>
      <c r="AA8" s="2">
        <v>-1</v>
      </c>
      <c r="AB8" s="16">
        <f t="shared" si="0"/>
        <v>4</v>
      </c>
    </row>
    <row r="9" spans="1:28" x14ac:dyDescent="0.3">
      <c r="A9" s="2" t="s">
        <v>24</v>
      </c>
      <c r="B9" s="16">
        <v>18</v>
      </c>
      <c r="C9" s="2"/>
      <c r="D9" s="2"/>
      <c r="E9" s="2"/>
      <c r="F9" s="2">
        <v>8</v>
      </c>
      <c r="G9" s="2"/>
      <c r="H9" s="2">
        <v>-26</v>
      </c>
      <c r="I9" s="2"/>
      <c r="J9" s="2"/>
      <c r="K9" s="2"/>
      <c r="L9" s="2"/>
      <c r="M9" s="2">
        <v>100</v>
      </c>
      <c r="N9" s="2">
        <v>-1</v>
      </c>
      <c r="O9" s="2"/>
      <c r="P9" s="2"/>
      <c r="Q9" s="2">
        <v>-26</v>
      </c>
      <c r="R9" s="2">
        <v>-4</v>
      </c>
      <c r="S9" s="2"/>
      <c r="T9" s="2">
        <v>-3</v>
      </c>
      <c r="U9" s="2">
        <v>-6</v>
      </c>
      <c r="V9" s="2"/>
      <c r="W9" s="2">
        <v>-30</v>
      </c>
      <c r="X9" s="2">
        <v>-6</v>
      </c>
      <c r="Y9" s="2"/>
      <c r="Z9" s="2">
        <v>100</v>
      </c>
      <c r="AA9" s="2">
        <v>-28</v>
      </c>
      <c r="AB9" s="16">
        <f t="shared" si="0"/>
        <v>96</v>
      </c>
    </row>
    <row r="10" spans="1:28" x14ac:dyDescent="0.3">
      <c r="A10" s="2" t="s">
        <v>30</v>
      </c>
      <c r="B10" s="16">
        <v>11</v>
      </c>
      <c r="C10" s="2"/>
      <c r="D10" s="2">
        <v>-2</v>
      </c>
      <c r="E10" s="2"/>
      <c r="F10" s="2"/>
      <c r="G10" s="2">
        <v>30</v>
      </c>
      <c r="H10" s="2"/>
      <c r="I10" s="2">
        <v>-2</v>
      </c>
      <c r="J10" s="2">
        <v>-7</v>
      </c>
      <c r="K10" s="2"/>
      <c r="L10" s="2">
        <v>-3</v>
      </c>
      <c r="M10" s="2"/>
      <c r="N10" s="2"/>
      <c r="O10" s="2"/>
      <c r="P10" s="2"/>
      <c r="Q10" s="2">
        <v>-12</v>
      </c>
      <c r="R10" s="2"/>
      <c r="S10" s="2"/>
      <c r="T10" s="2">
        <v>-1</v>
      </c>
      <c r="U10" s="2"/>
      <c r="V10" s="2">
        <v>30</v>
      </c>
      <c r="W10" s="2">
        <v>-1</v>
      </c>
      <c r="X10" s="2"/>
      <c r="Y10" s="2"/>
      <c r="Z10" s="2"/>
      <c r="AA10" s="2">
        <v>-2</v>
      </c>
      <c r="AB10" s="16">
        <f t="shared" si="0"/>
        <v>41</v>
      </c>
    </row>
    <row r="11" spans="1:28" x14ac:dyDescent="0.3">
      <c r="A11" s="2" t="s">
        <v>55</v>
      </c>
      <c r="B11" s="16">
        <v>15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16">
        <f t="shared" si="0"/>
        <v>15</v>
      </c>
    </row>
    <row r="12" spans="1:28" x14ac:dyDescent="0.3">
      <c r="A12" s="2" t="s">
        <v>57</v>
      </c>
      <c r="B12" s="16">
        <v>13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16">
        <f t="shared" si="0"/>
        <v>13</v>
      </c>
    </row>
    <row r="13" spans="1:28" x14ac:dyDescent="0.3">
      <c r="A13" s="2" t="s">
        <v>127</v>
      </c>
      <c r="B13" s="16">
        <v>0</v>
      </c>
      <c r="C13" s="2"/>
      <c r="D13" s="2"/>
      <c r="E13" s="2"/>
      <c r="F13" s="2"/>
      <c r="G13" s="2"/>
      <c r="H13" s="2"/>
      <c r="I13" s="2"/>
      <c r="J13" s="2"/>
      <c r="K13" s="2">
        <v>1</v>
      </c>
      <c r="L13" s="2"/>
      <c r="M13" s="2"/>
      <c r="N13" s="2"/>
      <c r="O13" s="2"/>
      <c r="P13" s="2"/>
      <c r="Q13" s="2"/>
      <c r="R13" s="2"/>
      <c r="S13" s="2">
        <v>2</v>
      </c>
      <c r="T13" s="2"/>
      <c r="U13" s="2"/>
      <c r="V13" s="2"/>
      <c r="W13" s="2">
        <v>-2</v>
      </c>
      <c r="X13" s="2"/>
      <c r="Y13" s="2"/>
      <c r="Z13" s="2"/>
      <c r="AA13" s="2"/>
      <c r="AB13" s="16">
        <f t="shared" si="0"/>
        <v>1</v>
      </c>
    </row>
    <row r="14" spans="1:28" x14ac:dyDescent="0.3">
      <c r="A14" s="2" t="s">
        <v>33</v>
      </c>
      <c r="B14" s="16">
        <v>20</v>
      </c>
      <c r="C14" s="2"/>
      <c r="D14" s="2"/>
      <c r="E14" s="2"/>
      <c r="F14" s="2"/>
      <c r="G14" s="2"/>
      <c r="H14" s="2">
        <v>-4</v>
      </c>
      <c r="I14" s="2">
        <v>-3</v>
      </c>
      <c r="J14" s="2"/>
      <c r="K14" s="2"/>
      <c r="L14" s="2"/>
      <c r="M14" s="2"/>
      <c r="N14" s="2"/>
      <c r="O14" s="2"/>
      <c r="P14" s="2"/>
      <c r="Q14" s="2"/>
      <c r="R14" s="2"/>
      <c r="S14" s="2">
        <v>3</v>
      </c>
      <c r="T14" s="2"/>
      <c r="U14" s="2"/>
      <c r="V14" s="2"/>
      <c r="W14" s="2"/>
      <c r="X14" s="2"/>
      <c r="Y14" s="2"/>
      <c r="Z14" s="2"/>
      <c r="AA14" s="2"/>
      <c r="AB14" s="16">
        <f t="shared" si="0"/>
        <v>16</v>
      </c>
    </row>
    <row r="15" spans="1:28" x14ac:dyDescent="0.3">
      <c r="A15" s="2" t="s">
        <v>37</v>
      </c>
      <c r="B15" s="16">
        <v>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16">
        <f t="shared" si="0"/>
        <v>1</v>
      </c>
    </row>
    <row r="16" spans="1:28" x14ac:dyDescent="0.3">
      <c r="A16" s="2" t="s">
        <v>86</v>
      </c>
      <c r="B16" s="16">
        <v>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>
        <v>-2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16">
        <f t="shared" si="0"/>
        <v>2</v>
      </c>
    </row>
    <row r="17" spans="1:28" x14ac:dyDescent="0.3">
      <c r="A17" s="2" t="s">
        <v>88</v>
      </c>
      <c r="B17" s="16">
        <v>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>
        <v>-1</v>
      </c>
      <c r="R17" s="2"/>
      <c r="S17" s="2"/>
      <c r="T17" s="2"/>
      <c r="U17" s="2"/>
      <c r="V17" s="2"/>
      <c r="W17" s="2">
        <v>-2</v>
      </c>
      <c r="X17" s="2"/>
      <c r="Y17" s="2"/>
      <c r="Z17" s="2"/>
      <c r="AA17" s="2"/>
      <c r="AB17" s="16">
        <f t="shared" si="0"/>
        <v>4</v>
      </c>
    </row>
    <row r="18" spans="1:28" x14ac:dyDescent="0.3">
      <c r="A18" s="1" t="s">
        <v>39</v>
      </c>
      <c r="B18" s="16">
        <v>240</v>
      </c>
      <c r="C18" s="16">
        <f t="shared" ref="C18:AA18" si="1">SUM(C3:C17)</f>
        <v>-3</v>
      </c>
      <c r="D18" s="16">
        <f t="shared" si="1"/>
        <v>-8</v>
      </c>
      <c r="E18" s="16">
        <f>SUM(E3:E17)</f>
        <v>50</v>
      </c>
      <c r="F18" s="16"/>
      <c r="G18" s="16">
        <f t="shared" si="1"/>
        <v>30</v>
      </c>
      <c r="H18" s="16">
        <f t="shared" si="1"/>
        <v>-90</v>
      </c>
      <c r="I18" s="16">
        <f t="shared" si="1"/>
        <v>-9</v>
      </c>
      <c r="J18" s="16">
        <f t="shared" si="1"/>
        <v>-12</v>
      </c>
      <c r="K18" s="16">
        <f t="shared" si="1"/>
        <v>3</v>
      </c>
      <c r="L18" s="16">
        <f t="shared" si="1"/>
        <v>-10</v>
      </c>
      <c r="M18" s="16">
        <f t="shared" si="1"/>
        <v>100</v>
      </c>
      <c r="N18" s="16">
        <f t="shared" si="1"/>
        <v>-1</v>
      </c>
      <c r="O18" s="16">
        <f t="shared" si="1"/>
        <v>50</v>
      </c>
      <c r="P18" s="16">
        <f t="shared" si="1"/>
        <v>8</v>
      </c>
      <c r="Q18" s="16">
        <f t="shared" si="1"/>
        <v>-65</v>
      </c>
      <c r="R18" s="16">
        <f t="shared" si="1"/>
        <v>-10</v>
      </c>
      <c r="S18" s="16">
        <f t="shared" si="1"/>
        <v>38</v>
      </c>
      <c r="T18" s="16">
        <f t="shared" si="1"/>
        <v>-10</v>
      </c>
      <c r="U18" s="16">
        <f t="shared" si="1"/>
        <v>-14</v>
      </c>
      <c r="V18" s="16">
        <f t="shared" si="1"/>
        <v>45</v>
      </c>
      <c r="W18" s="16">
        <f t="shared" si="1"/>
        <v>-70</v>
      </c>
      <c r="X18" s="16">
        <f t="shared" si="1"/>
        <v>-10</v>
      </c>
      <c r="Y18" s="16">
        <f t="shared" si="1"/>
        <v>-14</v>
      </c>
      <c r="Z18" s="16">
        <f>SUM(Z3:Z17)</f>
        <v>100</v>
      </c>
      <c r="AA18" s="16">
        <f t="shared" si="1"/>
        <v>-51</v>
      </c>
      <c r="AB18" s="16">
        <f t="shared" si="0"/>
        <v>287</v>
      </c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9906D-797F-4244-AEA0-EDC1E616FB55}">
  <dimension ref="A1:W19"/>
  <sheetViews>
    <sheetView workbookViewId="0">
      <selection activeCell="B9" sqref="B9"/>
    </sheetView>
  </sheetViews>
  <sheetFormatPr defaultRowHeight="14.4" x14ac:dyDescent="0.3"/>
  <cols>
    <col min="1" max="1" width="22.88671875" bestFit="1" customWidth="1"/>
    <col min="3" max="4" width="8.88671875" customWidth="1"/>
    <col min="5" max="16" width="7" customWidth="1"/>
    <col min="17" max="22" width="10.33203125" customWidth="1"/>
  </cols>
  <sheetData>
    <row r="1" spans="1:23" x14ac:dyDescent="0.3">
      <c r="A1" s="29" t="s">
        <v>128</v>
      </c>
      <c r="B1" s="1"/>
      <c r="C1" s="9">
        <v>37226</v>
      </c>
      <c r="D1" s="9">
        <v>37591</v>
      </c>
      <c r="E1" s="9">
        <v>37956</v>
      </c>
      <c r="F1" s="9">
        <v>38687</v>
      </c>
      <c r="G1" s="9">
        <v>38687</v>
      </c>
      <c r="H1" s="9">
        <v>40148</v>
      </c>
      <c r="I1" s="9">
        <v>40148</v>
      </c>
      <c r="J1" s="9">
        <v>40513</v>
      </c>
      <c r="K1" s="9">
        <v>40878</v>
      </c>
      <c r="L1" s="9">
        <v>41244</v>
      </c>
      <c r="M1" s="9">
        <v>42339</v>
      </c>
      <c r="N1" s="9">
        <v>42705</v>
      </c>
      <c r="O1" s="9">
        <v>42339</v>
      </c>
      <c r="P1" s="9">
        <v>42705</v>
      </c>
      <c r="Q1" s="9">
        <v>43070</v>
      </c>
      <c r="R1" s="9">
        <v>43070</v>
      </c>
      <c r="S1" s="9">
        <v>43800</v>
      </c>
      <c r="T1" s="9">
        <v>43800</v>
      </c>
      <c r="U1" s="9"/>
      <c r="V1" s="9"/>
      <c r="W1" s="1"/>
    </row>
    <row r="2" spans="1:23" x14ac:dyDescent="0.3">
      <c r="A2" s="1" t="s">
        <v>1</v>
      </c>
      <c r="B2" s="1"/>
      <c r="C2" s="1" t="s">
        <v>4</v>
      </c>
      <c r="D2" s="1"/>
      <c r="E2" s="1"/>
      <c r="F2" s="1"/>
      <c r="G2" s="1" t="s">
        <v>4</v>
      </c>
      <c r="H2" s="1"/>
      <c r="I2" s="1" t="s">
        <v>115</v>
      </c>
      <c r="J2" s="1"/>
      <c r="K2" s="1" t="s">
        <v>5</v>
      </c>
      <c r="L2" s="1"/>
      <c r="M2" s="1"/>
      <c r="N2" s="1"/>
      <c r="O2" s="1" t="s">
        <v>5</v>
      </c>
      <c r="P2" s="1" t="s">
        <v>5</v>
      </c>
      <c r="Q2" s="1"/>
      <c r="R2" s="10" t="s">
        <v>98</v>
      </c>
      <c r="S2" s="1" t="s">
        <v>5</v>
      </c>
      <c r="T2" s="1"/>
      <c r="U2" s="1"/>
      <c r="V2" s="1"/>
      <c r="W2" s="1"/>
    </row>
    <row r="3" spans="1:23" x14ac:dyDescent="0.3">
      <c r="A3" s="2" t="s">
        <v>17</v>
      </c>
      <c r="B3" s="1">
        <v>0</v>
      </c>
      <c r="C3" s="2"/>
      <c r="D3" s="2"/>
      <c r="E3" s="2"/>
      <c r="F3" s="2"/>
      <c r="G3" s="2">
        <v>350</v>
      </c>
      <c r="H3" s="2"/>
      <c r="I3" s="2">
        <v>-40</v>
      </c>
      <c r="J3" s="2"/>
      <c r="K3" s="2"/>
      <c r="L3" s="2"/>
      <c r="M3" s="2"/>
      <c r="N3" s="2"/>
      <c r="O3" s="2"/>
      <c r="P3" s="2"/>
      <c r="Q3" s="2"/>
      <c r="R3" s="2">
        <v>3</v>
      </c>
      <c r="S3" s="2"/>
      <c r="T3" s="2"/>
      <c r="U3" s="2"/>
      <c r="V3" s="2"/>
      <c r="W3" s="1">
        <f>SUM(B3:V3)</f>
        <v>313</v>
      </c>
    </row>
    <row r="4" spans="1:23" x14ac:dyDescent="0.3">
      <c r="A4" s="2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>
        <f t="shared" ref="W4:W19" si="0">SUM(B4:V4)</f>
        <v>0</v>
      </c>
    </row>
    <row r="5" spans="1:23" x14ac:dyDescent="0.3">
      <c r="A5" s="2" t="s">
        <v>6</v>
      </c>
      <c r="B5" s="1">
        <v>49</v>
      </c>
      <c r="C5" s="2"/>
      <c r="D5" s="2">
        <v>-1</v>
      </c>
      <c r="E5" s="2">
        <v>-2</v>
      </c>
      <c r="F5" s="2">
        <v>-36</v>
      </c>
      <c r="G5" s="2"/>
      <c r="H5" s="2"/>
      <c r="I5" s="2">
        <v>-20</v>
      </c>
      <c r="J5" s="2">
        <v>-14</v>
      </c>
      <c r="K5" s="2">
        <v>40</v>
      </c>
      <c r="L5" s="2">
        <v>-8</v>
      </c>
      <c r="M5" s="2"/>
      <c r="N5" s="2">
        <v>-2</v>
      </c>
      <c r="O5" s="2"/>
      <c r="P5" s="2"/>
      <c r="Q5" s="2">
        <v>-3</v>
      </c>
      <c r="R5" s="2"/>
      <c r="S5" s="2">
        <v>12</v>
      </c>
      <c r="T5" s="2">
        <v>-7</v>
      </c>
      <c r="U5" s="2"/>
      <c r="V5" s="2"/>
      <c r="W5" s="1">
        <f t="shared" si="0"/>
        <v>8</v>
      </c>
    </row>
    <row r="6" spans="1:23" x14ac:dyDescent="0.3">
      <c r="A6" s="2" t="s">
        <v>126</v>
      </c>
      <c r="B6" s="1">
        <v>0</v>
      </c>
      <c r="C6" s="2"/>
      <c r="D6" s="2"/>
      <c r="E6" s="2"/>
      <c r="F6" s="2"/>
      <c r="G6" s="2">
        <v>100</v>
      </c>
      <c r="H6" s="2">
        <v>-18</v>
      </c>
      <c r="I6" s="2"/>
      <c r="J6" s="2"/>
      <c r="K6" s="2"/>
      <c r="L6" s="2">
        <v>-18</v>
      </c>
      <c r="M6" s="2">
        <v>-10</v>
      </c>
      <c r="N6" s="2">
        <v>-4</v>
      </c>
      <c r="O6" s="2"/>
      <c r="P6" s="2"/>
      <c r="Q6" s="2"/>
      <c r="R6" s="2"/>
      <c r="S6" s="2"/>
      <c r="T6" s="2">
        <v>-18</v>
      </c>
      <c r="U6" s="2"/>
      <c r="V6" s="2"/>
      <c r="W6" s="1">
        <f t="shared" si="0"/>
        <v>32</v>
      </c>
    </row>
    <row r="7" spans="1:23" x14ac:dyDescent="0.3">
      <c r="A7" s="2" t="s">
        <v>12</v>
      </c>
      <c r="B7" s="1">
        <v>5</v>
      </c>
      <c r="C7" s="2"/>
      <c r="D7" s="2"/>
      <c r="E7" s="2"/>
      <c r="F7" s="2">
        <v>-4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1">
        <f t="shared" si="0"/>
        <v>1</v>
      </c>
    </row>
    <row r="8" spans="1:23" x14ac:dyDescent="0.3">
      <c r="A8" s="2" t="s">
        <v>121</v>
      </c>
      <c r="B8" s="1">
        <v>8</v>
      </c>
      <c r="C8" s="2"/>
      <c r="D8" s="2"/>
      <c r="E8" s="2"/>
      <c r="F8" s="2"/>
      <c r="G8" s="2"/>
      <c r="H8" s="2">
        <v>-1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1">
        <f t="shared" si="0"/>
        <v>7</v>
      </c>
    </row>
    <row r="9" spans="1:23" x14ac:dyDescent="0.3">
      <c r="A9" s="2" t="s">
        <v>122</v>
      </c>
      <c r="B9" s="1">
        <v>4</v>
      </c>
      <c r="C9" s="2"/>
      <c r="D9" s="2"/>
      <c r="E9" s="2"/>
      <c r="F9" s="2">
        <v>-1</v>
      </c>
      <c r="G9" s="2"/>
      <c r="H9" s="2"/>
      <c r="I9" s="2"/>
      <c r="J9" s="2">
        <v>-4</v>
      </c>
      <c r="K9" s="2">
        <v>10</v>
      </c>
      <c r="L9" s="2"/>
      <c r="M9" s="2"/>
      <c r="N9" s="2"/>
      <c r="O9" s="2"/>
      <c r="P9" s="2"/>
      <c r="Q9" s="2"/>
      <c r="R9" s="2">
        <v>2</v>
      </c>
      <c r="S9" s="2"/>
      <c r="T9" s="2">
        <v>-1</v>
      </c>
      <c r="U9" s="2"/>
      <c r="V9" s="2"/>
      <c r="W9" s="1">
        <f t="shared" si="0"/>
        <v>10</v>
      </c>
    </row>
    <row r="10" spans="1:23" x14ac:dyDescent="0.3">
      <c r="A10" s="2" t="s">
        <v>24</v>
      </c>
      <c r="B10" s="1">
        <v>96</v>
      </c>
      <c r="C10" s="2"/>
      <c r="D10" s="2"/>
      <c r="E10" s="2">
        <v>-11</v>
      </c>
      <c r="F10" s="2">
        <v>-40</v>
      </c>
      <c r="G10" s="2"/>
      <c r="H10" s="2">
        <v>-2</v>
      </c>
      <c r="I10" s="2">
        <v>-20</v>
      </c>
      <c r="J10" s="2"/>
      <c r="K10" s="2"/>
      <c r="L10" s="2">
        <v>-19</v>
      </c>
      <c r="M10" s="2">
        <v>-6</v>
      </c>
      <c r="N10" s="2">
        <v>-47</v>
      </c>
      <c r="O10" s="2">
        <v>100</v>
      </c>
      <c r="P10" s="2"/>
      <c r="Q10" s="2">
        <v>-4</v>
      </c>
      <c r="R10" s="2">
        <v>1</v>
      </c>
      <c r="S10" s="2"/>
      <c r="T10" s="2">
        <v>-28</v>
      </c>
      <c r="U10" s="2"/>
      <c r="V10" s="2"/>
      <c r="W10" s="1">
        <f t="shared" si="0"/>
        <v>20</v>
      </c>
    </row>
    <row r="11" spans="1:23" x14ac:dyDescent="0.3">
      <c r="A11" s="2" t="s">
        <v>30</v>
      </c>
      <c r="B11" s="1">
        <v>41</v>
      </c>
      <c r="C11" s="2"/>
      <c r="D11" s="2"/>
      <c r="E11" s="2"/>
      <c r="F11" s="2">
        <v>-4</v>
      </c>
      <c r="G11" s="2"/>
      <c r="H11" s="2"/>
      <c r="I11" s="2"/>
      <c r="J11" s="2"/>
      <c r="K11" s="2"/>
      <c r="L11" s="2">
        <v>-12</v>
      </c>
      <c r="M11" s="2"/>
      <c r="N11" s="2"/>
      <c r="O11" s="2"/>
      <c r="P11" s="2"/>
      <c r="Q11" s="2"/>
      <c r="R11" s="2">
        <v>6</v>
      </c>
      <c r="S11" s="2"/>
      <c r="T11" s="2"/>
      <c r="U11" s="2"/>
      <c r="V11" s="2"/>
      <c r="W11" s="1">
        <f t="shared" si="0"/>
        <v>31</v>
      </c>
    </row>
    <row r="12" spans="1:23" x14ac:dyDescent="0.3">
      <c r="A12" s="2" t="s">
        <v>55</v>
      </c>
      <c r="B12" s="1">
        <v>15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1">
        <f t="shared" si="0"/>
        <v>15</v>
      </c>
    </row>
    <row r="13" spans="1:23" x14ac:dyDescent="0.3">
      <c r="A13" s="2" t="s">
        <v>57</v>
      </c>
      <c r="B13" s="1">
        <v>13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1">
        <f t="shared" si="0"/>
        <v>13</v>
      </c>
    </row>
    <row r="14" spans="1:23" x14ac:dyDescent="0.3">
      <c r="A14" s="2" t="s">
        <v>127</v>
      </c>
      <c r="B14" s="1">
        <v>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>
        <v>10</v>
      </c>
      <c r="Q14" s="2"/>
      <c r="R14" s="2"/>
      <c r="S14" s="2"/>
      <c r="T14" s="2">
        <v>-2</v>
      </c>
      <c r="U14" s="2"/>
      <c r="V14" s="2"/>
      <c r="W14" s="1">
        <f t="shared" si="0"/>
        <v>9</v>
      </c>
    </row>
    <row r="15" spans="1:23" x14ac:dyDescent="0.3">
      <c r="A15" s="2" t="s">
        <v>33</v>
      </c>
      <c r="B15" s="1">
        <v>16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Q15" s="2"/>
      <c r="R15" s="2"/>
      <c r="S15" s="2"/>
      <c r="T15" s="2"/>
      <c r="U15" s="2"/>
      <c r="V15" s="2"/>
      <c r="W15" s="1">
        <f t="shared" si="0"/>
        <v>16</v>
      </c>
    </row>
    <row r="16" spans="1:23" x14ac:dyDescent="0.3">
      <c r="A16" s="2" t="s">
        <v>37</v>
      </c>
      <c r="B16" s="1">
        <v>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1">
        <f t="shared" si="0"/>
        <v>1</v>
      </c>
    </row>
    <row r="17" spans="1:23" x14ac:dyDescent="0.3">
      <c r="A17" s="2" t="s">
        <v>86</v>
      </c>
      <c r="B17" s="1">
        <v>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v>5</v>
      </c>
      <c r="Q17" s="2"/>
      <c r="R17" s="2"/>
      <c r="S17" s="2"/>
      <c r="T17" s="2"/>
      <c r="U17" s="2"/>
      <c r="V17" s="2"/>
      <c r="W17" s="1">
        <f t="shared" si="0"/>
        <v>7</v>
      </c>
    </row>
    <row r="18" spans="1:23" x14ac:dyDescent="0.3">
      <c r="A18" s="2" t="s">
        <v>88</v>
      </c>
      <c r="B18" s="1">
        <v>4</v>
      </c>
      <c r="C18" s="2">
        <v>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>
        <v>-1</v>
      </c>
      <c r="U18" s="2"/>
      <c r="V18" s="2"/>
      <c r="W18" s="1">
        <f t="shared" si="0"/>
        <v>8</v>
      </c>
    </row>
    <row r="19" spans="1:23" x14ac:dyDescent="0.3">
      <c r="A19" s="1" t="s">
        <v>39</v>
      </c>
      <c r="B19" s="1">
        <v>287</v>
      </c>
      <c r="C19" s="1">
        <f>SUM(C3:C18)</f>
        <v>5</v>
      </c>
      <c r="D19" s="1">
        <f t="shared" ref="D19:V19" si="1">SUM(D3:D18)</f>
        <v>-1</v>
      </c>
      <c r="E19" s="1">
        <f t="shared" si="1"/>
        <v>-13</v>
      </c>
      <c r="F19" s="1">
        <f t="shared" si="1"/>
        <v>-85</v>
      </c>
      <c r="G19" s="1">
        <f t="shared" si="1"/>
        <v>450</v>
      </c>
      <c r="H19" s="1">
        <f t="shared" si="1"/>
        <v>-21</v>
      </c>
      <c r="I19" s="1">
        <f t="shared" si="1"/>
        <v>-80</v>
      </c>
      <c r="J19" s="1">
        <f t="shared" si="1"/>
        <v>-18</v>
      </c>
      <c r="K19" s="1">
        <f t="shared" si="1"/>
        <v>50</v>
      </c>
      <c r="L19" s="1">
        <f t="shared" si="1"/>
        <v>-57</v>
      </c>
      <c r="M19" s="1">
        <f t="shared" si="1"/>
        <v>-16</v>
      </c>
      <c r="N19" s="1">
        <f t="shared" si="1"/>
        <v>-53</v>
      </c>
      <c r="O19" s="1">
        <f t="shared" si="1"/>
        <v>100</v>
      </c>
      <c r="P19" s="1">
        <f t="shared" si="1"/>
        <v>15</v>
      </c>
      <c r="Q19" s="1">
        <f t="shared" si="1"/>
        <v>-7</v>
      </c>
      <c r="R19" s="1">
        <f t="shared" si="1"/>
        <v>12</v>
      </c>
      <c r="S19" s="1">
        <f t="shared" si="1"/>
        <v>12</v>
      </c>
      <c r="T19" s="1">
        <f t="shared" si="1"/>
        <v>-57</v>
      </c>
      <c r="U19" s="1">
        <f t="shared" si="1"/>
        <v>0</v>
      </c>
      <c r="V19" s="1">
        <f t="shared" si="1"/>
        <v>0</v>
      </c>
      <c r="W19" s="1">
        <f t="shared" si="0"/>
        <v>523</v>
      </c>
    </row>
  </sheetData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2FA2-FDD4-4089-BFE3-0A273484A791}">
  <dimension ref="A1:AB34"/>
  <sheetViews>
    <sheetView workbookViewId="0">
      <selection activeCell="D1" sqref="D1:D1048576"/>
    </sheetView>
  </sheetViews>
  <sheetFormatPr defaultRowHeight="14.4" x14ac:dyDescent="0.3"/>
  <cols>
    <col min="1" max="1" width="23.5546875" bestFit="1" customWidth="1"/>
    <col min="6" max="27" width="8.88671875" customWidth="1"/>
  </cols>
  <sheetData>
    <row r="1" spans="1:28" x14ac:dyDescent="0.3">
      <c r="A1" s="29" t="s">
        <v>129</v>
      </c>
      <c r="B1" s="1"/>
      <c r="C1" s="9">
        <v>43800</v>
      </c>
      <c r="D1" s="9">
        <v>38353</v>
      </c>
      <c r="E1" s="9">
        <v>38353</v>
      </c>
      <c r="F1" s="9">
        <v>38718</v>
      </c>
      <c r="G1" s="9">
        <v>39083</v>
      </c>
      <c r="H1" s="9">
        <v>39814</v>
      </c>
      <c r="I1" s="9">
        <v>40909</v>
      </c>
      <c r="J1" s="9">
        <v>41640</v>
      </c>
      <c r="K1" s="9">
        <v>41640</v>
      </c>
      <c r="L1" s="9">
        <v>41640</v>
      </c>
      <c r="M1" s="9">
        <v>42005</v>
      </c>
      <c r="N1" s="9">
        <v>42370</v>
      </c>
      <c r="O1" s="9">
        <v>43466</v>
      </c>
      <c r="P1" s="9">
        <v>43466</v>
      </c>
      <c r="Q1" s="9">
        <v>44197</v>
      </c>
      <c r="R1" s="9">
        <v>44927</v>
      </c>
      <c r="S1" s="9">
        <v>44927</v>
      </c>
      <c r="T1" s="9">
        <v>46388</v>
      </c>
      <c r="U1" s="9">
        <v>46753</v>
      </c>
      <c r="V1" s="9">
        <v>47484</v>
      </c>
      <c r="W1" s="1"/>
      <c r="X1" s="1"/>
      <c r="Y1" s="1"/>
      <c r="Z1" s="1"/>
      <c r="AA1" s="1"/>
      <c r="AB1" s="1"/>
    </row>
    <row r="2" spans="1:28" x14ac:dyDescent="0.3">
      <c r="A2" s="1" t="s">
        <v>1</v>
      </c>
      <c r="B2" s="1"/>
      <c r="C2" s="1"/>
      <c r="D2" s="10" t="s">
        <v>98</v>
      </c>
      <c r="E2" s="1"/>
      <c r="F2" s="1"/>
      <c r="G2" s="1"/>
      <c r="H2" s="1"/>
      <c r="I2" s="1"/>
      <c r="J2" s="1" t="s">
        <v>5</v>
      </c>
      <c r="K2" s="1"/>
      <c r="L2" s="1" t="s">
        <v>4</v>
      </c>
      <c r="M2" s="1"/>
      <c r="N2" s="1"/>
      <c r="O2" s="1"/>
      <c r="P2" s="1" t="s">
        <v>115</v>
      </c>
      <c r="Q2" s="1"/>
      <c r="R2" s="1"/>
      <c r="S2" s="1" t="s">
        <v>5</v>
      </c>
      <c r="T2" s="10" t="s">
        <v>98</v>
      </c>
      <c r="U2" s="1"/>
      <c r="V2" s="1"/>
      <c r="W2" s="1"/>
      <c r="X2" s="1"/>
      <c r="Y2" s="1"/>
      <c r="Z2" s="1"/>
      <c r="AA2" s="1"/>
      <c r="AB2" s="1"/>
    </row>
    <row r="3" spans="1:28" ht="13.95" customHeight="1" x14ac:dyDescent="0.3">
      <c r="A3" s="2" t="s">
        <v>17</v>
      </c>
      <c r="B3" s="1">
        <v>313</v>
      </c>
      <c r="C3" s="2"/>
      <c r="D3" s="2">
        <v>2</v>
      </c>
      <c r="E3" s="2"/>
      <c r="F3" s="2">
        <v>-13</v>
      </c>
      <c r="G3" s="2"/>
      <c r="H3" s="2">
        <v>-22</v>
      </c>
      <c r="I3" s="2">
        <v>-3</v>
      </c>
      <c r="J3" s="2"/>
      <c r="K3" s="2">
        <v>-4</v>
      </c>
      <c r="L3" s="2"/>
      <c r="M3" s="2"/>
      <c r="N3" s="2">
        <v>-24</v>
      </c>
      <c r="O3" s="2"/>
      <c r="P3" s="2">
        <v>-40</v>
      </c>
      <c r="Q3" s="2">
        <v>-4</v>
      </c>
      <c r="R3" s="2">
        <v>-57</v>
      </c>
      <c r="S3" s="2"/>
      <c r="T3" s="2"/>
      <c r="U3" s="2">
        <v>-9</v>
      </c>
      <c r="V3" s="2">
        <v>-28</v>
      </c>
      <c r="W3" s="2"/>
      <c r="X3" s="2"/>
      <c r="Y3" s="2"/>
      <c r="Z3" s="2"/>
      <c r="AA3" s="2"/>
      <c r="AB3" s="1">
        <f>SUM(B3:AA3)</f>
        <v>111</v>
      </c>
    </row>
    <row r="4" spans="1:28" x14ac:dyDescent="0.3">
      <c r="A4" s="2" t="s">
        <v>6</v>
      </c>
      <c r="B4" s="1">
        <v>8</v>
      </c>
      <c r="C4" s="2"/>
      <c r="D4" s="2">
        <v>1</v>
      </c>
      <c r="E4" s="2"/>
      <c r="F4" s="2">
        <v>-1</v>
      </c>
      <c r="G4" s="2">
        <v>-2</v>
      </c>
      <c r="H4" s="2">
        <v>-2</v>
      </c>
      <c r="I4" s="2"/>
      <c r="J4" s="2"/>
      <c r="K4" s="2"/>
      <c r="L4" s="2">
        <v>80</v>
      </c>
      <c r="M4" s="2">
        <v>-9</v>
      </c>
      <c r="N4" s="2">
        <v>-10</v>
      </c>
      <c r="O4" s="2"/>
      <c r="P4" s="2">
        <v>-10</v>
      </c>
      <c r="Q4" s="2">
        <v>-2</v>
      </c>
      <c r="R4" s="2">
        <v>-10</v>
      </c>
      <c r="S4" s="2"/>
      <c r="T4" s="2">
        <v>2</v>
      </c>
      <c r="U4" s="2">
        <v>-6</v>
      </c>
      <c r="V4" s="2">
        <v>-23</v>
      </c>
      <c r="W4" s="2"/>
      <c r="X4" s="2"/>
      <c r="Y4" s="2"/>
      <c r="Z4" s="2"/>
      <c r="AA4" s="2"/>
      <c r="AB4" s="1">
        <f t="shared" ref="AB4:AB18" si="0">SUM(B4:AA4)</f>
        <v>16</v>
      </c>
    </row>
    <row r="5" spans="1:28" x14ac:dyDescent="0.3">
      <c r="A5" s="2" t="s">
        <v>126</v>
      </c>
      <c r="B5" s="1">
        <v>32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>
        <v>-2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1">
        <f t="shared" si="0"/>
        <v>30</v>
      </c>
    </row>
    <row r="6" spans="1:28" x14ac:dyDescent="0.3">
      <c r="A6" s="2" t="s">
        <v>12</v>
      </c>
      <c r="B6" s="1">
        <v>1</v>
      </c>
      <c r="C6" s="2"/>
      <c r="D6" s="2"/>
      <c r="E6" s="2"/>
      <c r="F6" s="2"/>
      <c r="G6" s="2"/>
      <c r="H6" s="2">
        <v>-1</v>
      </c>
      <c r="I6" s="2"/>
      <c r="J6" s="2"/>
      <c r="K6" s="2"/>
      <c r="L6" s="2">
        <v>20</v>
      </c>
      <c r="M6" s="2"/>
      <c r="N6" s="2">
        <v>-10</v>
      </c>
      <c r="O6" s="2"/>
      <c r="P6" s="2"/>
      <c r="Q6" s="2"/>
      <c r="R6" s="2">
        <v>-2</v>
      </c>
      <c r="S6" s="2"/>
      <c r="T6" s="2"/>
      <c r="U6" s="2"/>
      <c r="V6" s="2"/>
      <c r="W6" s="2"/>
      <c r="X6" s="2"/>
      <c r="Y6" s="2"/>
      <c r="Z6" s="2"/>
      <c r="AA6" s="2"/>
      <c r="AB6" s="1">
        <f t="shared" si="0"/>
        <v>8</v>
      </c>
    </row>
    <row r="7" spans="1:28" x14ac:dyDescent="0.3">
      <c r="A7" s="2" t="s">
        <v>121</v>
      </c>
      <c r="B7" s="1">
        <v>7</v>
      </c>
      <c r="C7" s="2"/>
      <c r="D7" s="2"/>
      <c r="E7" s="2">
        <v>-1</v>
      </c>
      <c r="F7" s="2">
        <v>-4</v>
      </c>
      <c r="G7" s="2"/>
      <c r="H7" s="2"/>
      <c r="I7" s="2"/>
      <c r="J7" s="2"/>
      <c r="K7" s="2"/>
      <c r="L7" s="2">
        <v>10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1">
        <f t="shared" si="0"/>
        <v>12</v>
      </c>
    </row>
    <row r="8" spans="1:28" x14ac:dyDescent="0.3">
      <c r="A8" s="2" t="s">
        <v>122</v>
      </c>
      <c r="B8" s="1">
        <v>10</v>
      </c>
      <c r="C8" s="2"/>
      <c r="D8" s="2"/>
      <c r="E8" s="2"/>
      <c r="F8" s="2"/>
      <c r="G8" s="2"/>
      <c r="H8" s="2">
        <v>-1</v>
      </c>
      <c r="I8" s="2"/>
      <c r="J8" s="2"/>
      <c r="K8" s="2"/>
      <c r="L8" s="2"/>
      <c r="M8" s="2"/>
      <c r="N8" s="2"/>
      <c r="O8" s="2"/>
      <c r="P8" s="2"/>
      <c r="Q8" s="2">
        <v>-3</v>
      </c>
      <c r="R8" s="2"/>
      <c r="S8" s="2"/>
      <c r="T8" s="2"/>
      <c r="U8" s="2"/>
      <c r="V8" s="2">
        <v>-4</v>
      </c>
      <c r="W8" s="2"/>
      <c r="X8" s="2"/>
      <c r="Y8" s="2"/>
      <c r="Z8" s="2"/>
      <c r="AA8" s="2"/>
      <c r="AB8" s="1">
        <f t="shared" si="0"/>
        <v>2</v>
      </c>
    </row>
    <row r="9" spans="1:28" x14ac:dyDescent="0.3">
      <c r="A9" s="2" t="s">
        <v>24</v>
      </c>
      <c r="B9" s="1">
        <v>20</v>
      </c>
      <c r="C9" s="2"/>
      <c r="D9" s="2"/>
      <c r="E9" s="2"/>
      <c r="F9" s="2">
        <v>-8</v>
      </c>
      <c r="G9" s="2">
        <v>-1</v>
      </c>
      <c r="H9" s="2">
        <v>-10</v>
      </c>
      <c r="I9" s="2"/>
      <c r="J9" s="2"/>
      <c r="K9" s="2"/>
      <c r="L9" s="2">
        <v>150</v>
      </c>
      <c r="M9" s="2"/>
      <c r="N9" s="2">
        <v>-43</v>
      </c>
      <c r="O9" s="2">
        <v>-7</v>
      </c>
      <c r="P9" s="2">
        <v>-40</v>
      </c>
      <c r="Q9" s="2"/>
      <c r="R9" s="2">
        <v>-33</v>
      </c>
      <c r="S9" s="2">
        <v>150</v>
      </c>
      <c r="T9" s="2"/>
      <c r="U9" s="2">
        <v>-7</v>
      </c>
      <c r="V9" s="2">
        <v>-26</v>
      </c>
      <c r="W9" s="2"/>
      <c r="X9" s="2"/>
      <c r="Y9" s="2"/>
      <c r="Z9" s="2"/>
      <c r="AA9" s="2"/>
      <c r="AB9" s="1">
        <f t="shared" si="0"/>
        <v>145</v>
      </c>
    </row>
    <row r="10" spans="1:28" x14ac:dyDescent="0.3">
      <c r="A10" s="2" t="s">
        <v>30</v>
      </c>
      <c r="B10" s="1">
        <v>31</v>
      </c>
      <c r="C10" s="2">
        <v>-6</v>
      </c>
      <c r="D10" s="2"/>
      <c r="E10" s="2">
        <v>-12</v>
      </c>
      <c r="F10" s="2">
        <v>-10</v>
      </c>
      <c r="G10" s="2"/>
      <c r="H10" s="2">
        <v>-1</v>
      </c>
      <c r="I10" s="2"/>
      <c r="J10" s="2"/>
      <c r="K10" s="2"/>
      <c r="L10" s="2">
        <v>70</v>
      </c>
      <c r="M10" s="2"/>
      <c r="N10" s="2">
        <v>-8</v>
      </c>
      <c r="O10" s="2">
        <v>-3</v>
      </c>
      <c r="P10" s="2">
        <v>-30</v>
      </c>
      <c r="Q10" s="2">
        <v>-1</v>
      </c>
      <c r="R10" s="2">
        <v>-10</v>
      </c>
      <c r="S10" s="2"/>
      <c r="T10" s="2"/>
      <c r="U10" s="2"/>
      <c r="V10" s="2">
        <v>-11</v>
      </c>
      <c r="W10" s="2"/>
      <c r="X10" s="2"/>
      <c r="Y10" s="2"/>
      <c r="Z10" s="2"/>
      <c r="AA10" s="2"/>
      <c r="AB10" s="1">
        <f t="shared" si="0"/>
        <v>9</v>
      </c>
    </row>
    <row r="11" spans="1:28" x14ac:dyDescent="0.3">
      <c r="A11" s="2" t="s">
        <v>55</v>
      </c>
      <c r="B11" s="1">
        <v>15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1">
        <f t="shared" si="0"/>
        <v>15</v>
      </c>
    </row>
    <row r="12" spans="1:28" x14ac:dyDescent="0.3">
      <c r="A12" s="2" t="s">
        <v>57</v>
      </c>
      <c r="B12" s="1">
        <v>13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1">
        <f t="shared" si="0"/>
        <v>13</v>
      </c>
    </row>
    <row r="13" spans="1:28" x14ac:dyDescent="0.3">
      <c r="A13" s="2" t="s">
        <v>127</v>
      </c>
      <c r="B13" s="1">
        <v>9</v>
      </c>
      <c r="C13" s="2"/>
      <c r="D13" s="2"/>
      <c r="E13" s="2"/>
      <c r="F13" s="2">
        <v>-6</v>
      </c>
      <c r="G13" s="2"/>
      <c r="H13" s="2">
        <v>-2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1">
        <f t="shared" si="0"/>
        <v>1</v>
      </c>
    </row>
    <row r="14" spans="1:28" x14ac:dyDescent="0.3">
      <c r="A14" s="2" t="s">
        <v>33</v>
      </c>
      <c r="B14" s="1">
        <v>16</v>
      </c>
      <c r="C14" s="2"/>
      <c r="D14" s="2"/>
      <c r="E14" s="2"/>
      <c r="F14" s="2"/>
      <c r="G14" s="2"/>
      <c r="H14" s="2"/>
      <c r="I14" s="2"/>
      <c r="J14" s="2">
        <v>15</v>
      </c>
      <c r="K14" s="2"/>
      <c r="L14" s="2"/>
      <c r="M14" s="2"/>
      <c r="N14" s="2">
        <v>-6</v>
      </c>
      <c r="O14" s="2"/>
      <c r="P14" s="2"/>
      <c r="Q14" s="2"/>
      <c r="R14" s="2"/>
      <c r="S14" s="2"/>
      <c r="T14" s="2"/>
      <c r="U14" s="2"/>
      <c r="V14" s="2">
        <v>-2</v>
      </c>
      <c r="W14" s="2"/>
      <c r="X14" s="2"/>
      <c r="Y14" s="2"/>
      <c r="Z14" s="2"/>
      <c r="AA14" s="2"/>
      <c r="AB14" s="1">
        <f t="shared" si="0"/>
        <v>23</v>
      </c>
    </row>
    <row r="15" spans="1:28" x14ac:dyDescent="0.3">
      <c r="A15" s="2" t="s">
        <v>37</v>
      </c>
      <c r="B15" s="1">
        <v>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1">
        <f t="shared" si="0"/>
        <v>1</v>
      </c>
    </row>
    <row r="16" spans="1:28" x14ac:dyDescent="0.3">
      <c r="A16" s="2" t="s">
        <v>86</v>
      </c>
      <c r="B16" s="1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1">
        <f t="shared" si="0"/>
        <v>7</v>
      </c>
    </row>
    <row r="17" spans="1:28" x14ac:dyDescent="0.3">
      <c r="A17" s="2" t="s">
        <v>88</v>
      </c>
      <c r="B17" s="1">
        <v>8</v>
      </c>
      <c r="C17" s="2"/>
      <c r="D17" s="2"/>
      <c r="E17" s="2"/>
      <c r="F17" s="2"/>
      <c r="G17" s="2"/>
      <c r="H17" s="2">
        <v>-1</v>
      </c>
      <c r="I17" s="2"/>
      <c r="J17" s="2"/>
      <c r="K17" s="2"/>
      <c r="L17" s="2"/>
      <c r="M17" s="2"/>
      <c r="N17" s="2"/>
      <c r="O17" s="2"/>
      <c r="P17" s="2"/>
      <c r="Q17" s="2"/>
      <c r="R17" s="2">
        <v>-1</v>
      </c>
      <c r="S17" s="2"/>
      <c r="T17" s="2"/>
      <c r="U17" s="2"/>
      <c r="V17" s="2"/>
      <c r="W17" s="2"/>
      <c r="X17" s="2"/>
      <c r="Y17" s="2"/>
      <c r="Z17" s="2"/>
      <c r="AA17" s="2"/>
      <c r="AB17" s="1">
        <f t="shared" si="0"/>
        <v>6</v>
      </c>
    </row>
    <row r="18" spans="1:28" x14ac:dyDescent="0.3">
      <c r="A18" s="1" t="s">
        <v>39</v>
      </c>
      <c r="B18" s="1">
        <f>SUM(B3:B17)</f>
        <v>491</v>
      </c>
      <c r="C18" s="1">
        <f>SUM(C3:C17)</f>
        <v>-6</v>
      </c>
      <c r="D18" s="1">
        <f>SUM(D3:D17)</f>
        <v>3</v>
      </c>
      <c r="E18" s="1">
        <f t="shared" ref="E18:AA18" si="1">SUM(E3:E17)</f>
        <v>-13</v>
      </c>
      <c r="F18" s="1">
        <f t="shared" si="1"/>
        <v>-42</v>
      </c>
      <c r="G18" s="1">
        <f t="shared" si="1"/>
        <v>-3</v>
      </c>
      <c r="H18" s="1">
        <f t="shared" si="1"/>
        <v>-40</v>
      </c>
      <c r="I18" s="1">
        <f t="shared" si="1"/>
        <v>-3</v>
      </c>
      <c r="J18" s="1">
        <f t="shared" si="1"/>
        <v>15</v>
      </c>
      <c r="K18" s="1">
        <f t="shared" si="1"/>
        <v>-4</v>
      </c>
      <c r="L18" s="1">
        <f t="shared" si="1"/>
        <v>330</v>
      </c>
      <c r="M18" s="1">
        <f t="shared" si="1"/>
        <v>-9</v>
      </c>
      <c r="N18" s="1">
        <f t="shared" si="1"/>
        <v>-101</v>
      </c>
      <c r="O18" s="1">
        <f t="shared" si="1"/>
        <v>-12</v>
      </c>
      <c r="P18" s="1">
        <f t="shared" si="1"/>
        <v>-120</v>
      </c>
      <c r="Q18" s="1">
        <f t="shared" si="1"/>
        <v>-10</v>
      </c>
      <c r="R18" s="1">
        <f t="shared" si="1"/>
        <v>-113</v>
      </c>
      <c r="S18" s="1">
        <f t="shared" si="1"/>
        <v>150</v>
      </c>
      <c r="T18" s="1">
        <f t="shared" si="1"/>
        <v>2</v>
      </c>
      <c r="U18" s="1">
        <f t="shared" si="1"/>
        <v>-22</v>
      </c>
      <c r="V18" s="1">
        <f t="shared" si="1"/>
        <v>-94</v>
      </c>
      <c r="W18" s="1">
        <f t="shared" si="1"/>
        <v>0</v>
      </c>
      <c r="X18" s="1">
        <f t="shared" si="1"/>
        <v>0</v>
      </c>
      <c r="Y18" s="1">
        <f t="shared" si="1"/>
        <v>0</v>
      </c>
      <c r="Z18" s="1">
        <f t="shared" si="1"/>
        <v>0</v>
      </c>
      <c r="AA18" s="1">
        <f t="shared" si="1"/>
        <v>0</v>
      </c>
      <c r="AB18" s="1">
        <f t="shared" si="0"/>
        <v>399</v>
      </c>
    </row>
    <row r="21" spans="1:28" x14ac:dyDescent="0.3">
      <c r="A21" t="s">
        <v>130</v>
      </c>
    </row>
    <row r="23" spans="1:28" ht="15.6" x14ac:dyDescent="0.3">
      <c r="A23" s="31"/>
      <c r="B23" s="30"/>
    </row>
    <row r="24" spans="1:28" x14ac:dyDescent="0.3">
      <c r="A24" s="32" t="s">
        <v>131</v>
      </c>
    </row>
    <row r="25" spans="1:28" x14ac:dyDescent="0.3">
      <c r="A25" s="32" t="s">
        <v>132</v>
      </c>
    </row>
    <row r="26" spans="1:28" x14ac:dyDescent="0.3">
      <c r="A26" s="32" t="s">
        <v>133</v>
      </c>
    </row>
    <row r="27" spans="1:28" x14ac:dyDescent="0.3">
      <c r="A27" s="32" t="s">
        <v>134</v>
      </c>
    </row>
    <row r="28" spans="1:28" x14ac:dyDescent="0.3">
      <c r="A28" s="32" t="s">
        <v>135</v>
      </c>
    </row>
    <row r="29" spans="1:28" x14ac:dyDescent="0.3">
      <c r="A29" s="32" t="s">
        <v>136</v>
      </c>
    </row>
    <row r="30" spans="1:28" x14ac:dyDescent="0.3">
      <c r="A30" s="32" t="s">
        <v>137</v>
      </c>
    </row>
    <row r="31" spans="1:28" x14ac:dyDescent="0.3">
      <c r="A31" s="32" t="s">
        <v>138</v>
      </c>
    </row>
    <row r="32" spans="1:28" x14ac:dyDescent="0.3">
      <c r="A32" s="32" t="s">
        <v>139</v>
      </c>
    </row>
    <row r="33" spans="1:1" x14ac:dyDescent="0.3">
      <c r="A33" s="32" t="s">
        <v>140</v>
      </c>
    </row>
    <row r="34" spans="1:1" x14ac:dyDescent="0.3">
      <c r="A34" s="32" t="s">
        <v>141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CFE30-A8DD-4799-84CF-C0421B777267}">
  <dimension ref="A1:T33"/>
  <sheetViews>
    <sheetView workbookViewId="0">
      <selection activeCell="G8" sqref="G8"/>
    </sheetView>
  </sheetViews>
  <sheetFormatPr defaultRowHeight="14.4" x14ac:dyDescent="0.3"/>
  <cols>
    <col min="1" max="1" width="22.88671875" bestFit="1" customWidth="1"/>
    <col min="3" max="4" width="8.88671875" customWidth="1"/>
    <col min="7" max="19" width="8.88671875" customWidth="1"/>
  </cols>
  <sheetData>
    <row r="1" spans="1:20" ht="17.399999999999999" customHeight="1" x14ac:dyDescent="0.3">
      <c r="A1" s="29" t="s">
        <v>142</v>
      </c>
      <c r="B1" s="1"/>
      <c r="C1" s="9">
        <v>37288</v>
      </c>
      <c r="D1" s="9">
        <v>37653</v>
      </c>
      <c r="E1" s="9">
        <v>38018</v>
      </c>
      <c r="F1" s="9">
        <v>38384</v>
      </c>
      <c r="G1" s="9">
        <v>38384</v>
      </c>
      <c r="H1" s="9">
        <v>38749</v>
      </c>
      <c r="I1" s="9">
        <v>39845</v>
      </c>
      <c r="J1" s="9">
        <v>40575</v>
      </c>
      <c r="K1" s="9">
        <v>41306</v>
      </c>
      <c r="L1" s="9">
        <v>43132</v>
      </c>
      <c r="M1" s="9">
        <v>43862</v>
      </c>
      <c r="N1" s="9">
        <v>43862</v>
      </c>
      <c r="O1" s="9">
        <v>44958</v>
      </c>
      <c r="P1" s="9">
        <v>44958</v>
      </c>
      <c r="Q1" s="9">
        <v>45323</v>
      </c>
      <c r="R1" s="9">
        <v>45689</v>
      </c>
      <c r="S1" s="9">
        <v>46419</v>
      </c>
      <c r="T1" s="1"/>
    </row>
    <row r="2" spans="1:20" x14ac:dyDescent="0.3">
      <c r="A2" s="1" t="s">
        <v>1</v>
      </c>
      <c r="B2" s="1"/>
      <c r="C2" s="1"/>
      <c r="D2" s="1"/>
      <c r="E2" s="1"/>
      <c r="F2" s="1"/>
      <c r="G2" s="1" t="s">
        <v>5</v>
      </c>
      <c r="H2" s="1"/>
      <c r="I2" s="1"/>
      <c r="J2" s="1"/>
      <c r="K2" s="1"/>
      <c r="L2" s="1"/>
      <c r="M2" s="1" t="s">
        <v>5</v>
      </c>
      <c r="N2" s="1"/>
      <c r="O2" s="1" t="s">
        <v>5</v>
      </c>
      <c r="P2" s="1"/>
      <c r="Q2" s="1"/>
      <c r="R2" s="1"/>
      <c r="S2" s="1"/>
      <c r="T2" s="1"/>
    </row>
    <row r="3" spans="1:20" x14ac:dyDescent="0.3">
      <c r="A3" s="2" t="s">
        <v>17</v>
      </c>
      <c r="B3" s="1">
        <v>111</v>
      </c>
      <c r="C3" s="2"/>
      <c r="D3" s="2"/>
      <c r="E3" s="2"/>
      <c r="F3" s="2">
        <v>-4</v>
      </c>
      <c r="G3" s="2"/>
      <c r="H3" s="35">
        <v>-23</v>
      </c>
      <c r="I3" s="35">
        <v>-4</v>
      </c>
      <c r="J3" s="35">
        <v>-4</v>
      </c>
      <c r="K3" s="35">
        <v>-8</v>
      </c>
      <c r="L3" s="35">
        <v>-11</v>
      </c>
      <c r="M3" s="2">
        <v>100</v>
      </c>
      <c r="N3" s="35">
        <v>-17</v>
      </c>
      <c r="O3" s="2"/>
      <c r="P3" s="35">
        <v>-3</v>
      </c>
      <c r="Q3" s="35">
        <v>-1</v>
      </c>
      <c r="R3" s="2"/>
      <c r="S3" s="35">
        <v>-30</v>
      </c>
      <c r="T3" s="1">
        <f>SUM(B3:S3)</f>
        <v>106</v>
      </c>
    </row>
    <row r="4" spans="1:20" ht="15" customHeight="1" x14ac:dyDescent="0.3">
      <c r="A4" s="2" t="s">
        <v>6</v>
      </c>
      <c r="B4" s="1">
        <v>16</v>
      </c>
      <c r="C4" s="2"/>
      <c r="D4" s="2">
        <v>-4</v>
      </c>
      <c r="E4" s="2"/>
      <c r="F4" s="2"/>
      <c r="G4" s="2">
        <v>60</v>
      </c>
      <c r="H4" s="35">
        <v>-16</v>
      </c>
      <c r="I4" s="2"/>
      <c r="J4" s="2"/>
      <c r="K4" s="35">
        <v>-6</v>
      </c>
      <c r="L4" s="2"/>
      <c r="M4" s="2"/>
      <c r="N4" s="35">
        <v>-11</v>
      </c>
      <c r="O4" s="2">
        <v>16</v>
      </c>
      <c r="P4" s="2"/>
      <c r="Q4" s="2"/>
      <c r="R4" s="2"/>
      <c r="S4" s="35">
        <v>-14</v>
      </c>
      <c r="T4" s="1">
        <f t="shared" ref="T4:T18" si="0">SUM(B4:S4)</f>
        <v>41</v>
      </c>
    </row>
    <row r="5" spans="1:20" x14ac:dyDescent="0.3">
      <c r="A5" s="2" t="s">
        <v>126</v>
      </c>
      <c r="B5" s="1">
        <v>30</v>
      </c>
      <c r="C5" s="2">
        <v>-11</v>
      </c>
      <c r="D5" s="2">
        <v>-10</v>
      </c>
      <c r="E5" s="2"/>
      <c r="F5" s="2"/>
      <c r="G5" s="2"/>
      <c r="H5" s="35">
        <v>-6</v>
      </c>
      <c r="I5" s="2"/>
      <c r="J5" s="2"/>
      <c r="K5" s="35">
        <v>-3</v>
      </c>
      <c r="L5" s="2"/>
      <c r="M5" s="2"/>
      <c r="N5" s="2"/>
      <c r="O5" s="2"/>
      <c r="P5" s="2"/>
      <c r="Q5" s="2"/>
      <c r="R5" s="2"/>
      <c r="S5" s="2"/>
      <c r="T5" s="1">
        <f t="shared" si="0"/>
        <v>0</v>
      </c>
    </row>
    <row r="6" spans="1:20" x14ac:dyDescent="0.3">
      <c r="A6" s="2" t="s">
        <v>12</v>
      </c>
      <c r="B6" s="1">
        <v>8</v>
      </c>
      <c r="C6" s="2"/>
      <c r="D6" s="2"/>
      <c r="E6" s="2"/>
      <c r="F6" s="2"/>
      <c r="G6" s="2">
        <v>30</v>
      </c>
      <c r="H6" s="35">
        <v>-3</v>
      </c>
      <c r="I6" s="2"/>
      <c r="J6" s="2"/>
      <c r="K6" s="35">
        <v>-1</v>
      </c>
      <c r="L6" s="2"/>
      <c r="M6" s="2"/>
      <c r="N6" s="35">
        <v>-5</v>
      </c>
      <c r="O6" s="2"/>
      <c r="P6" s="2"/>
      <c r="Q6" s="35">
        <v>-1</v>
      </c>
      <c r="R6" s="2"/>
      <c r="S6" s="2"/>
      <c r="T6" s="1">
        <f t="shared" si="0"/>
        <v>28</v>
      </c>
    </row>
    <row r="7" spans="1:20" x14ac:dyDescent="0.3">
      <c r="A7" s="2" t="s">
        <v>121</v>
      </c>
      <c r="B7" s="1">
        <v>12</v>
      </c>
      <c r="C7" s="2"/>
      <c r="D7" s="2">
        <v>-1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1">
        <f t="shared" si="0"/>
        <v>11</v>
      </c>
    </row>
    <row r="8" spans="1:20" x14ac:dyDescent="0.3">
      <c r="A8" s="2" t="s">
        <v>122</v>
      </c>
      <c r="B8" s="1">
        <v>2</v>
      </c>
      <c r="C8" s="2"/>
      <c r="D8" s="2"/>
      <c r="E8" s="2"/>
      <c r="F8" s="2"/>
      <c r="G8" s="2">
        <v>20</v>
      </c>
      <c r="H8" s="2"/>
      <c r="I8" s="2"/>
      <c r="J8" s="2"/>
      <c r="K8" s="2"/>
      <c r="L8" s="2"/>
      <c r="M8" s="2"/>
      <c r="N8" s="35">
        <v>-3</v>
      </c>
      <c r="O8" s="2"/>
      <c r="P8" s="2"/>
      <c r="Q8" s="2"/>
      <c r="R8" s="2"/>
      <c r="S8" s="2"/>
      <c r="T8" s="1">
        <f t="shared" si="0"/>
        <v>19</v>
      </c>
    </row>
    <row r="9" spans="1:20" x14ac:dyDescent="0.3">
      <c r="A9" s="2" t="s">
        <v>24</v>
      </c>
      <c r="B9" s="1">
        <v>145</v>
      </c>
      <c r="C9" s="2">
        <v>-4</v>
      </c>
      <c r="D9" s="2"/>
      <c r="E9" s="2">
        <v>-3</v>
      </c>
      <c r="F9" s="2">
        <v>-10</v>
      </c>
      <c r="G9" s="2"/>
      <c r="H9" s="35">
        <v>-33</v>
      </c>
      <c r="I9" s="2"/>
      <c r="J9" s="35">
        <v>-12</v>
      </c>
      <c r="K9" s="35">
        <v>-15</v>
      </c>
      <c r="L9" s="35">
        <v>-8</v>
      </c>
      <c r="M9" s="2">
        <v>100</v>
      </c>
      <c r="N9" s="35">
        <v>-35</v>
      </c>
      <c r="O9" s="2"/>
      <c r="P9" s="2"/>
      <c r="Q9" s="2"/>
      <c r="R9" s="35">
        <v>-4</v>
      </c>
      <c r="S9" s="35">
        <v>-13</v>
      </c>
      <c r="T9" s="1">
        <f t="shared" si="0"/>
        <v>108</v>
      </c>
    </row>
    <row r="10" spans="1:20" x14ac:dyDescent="0.3">
      <c r="A10" s="2" t="s">
        <v>30</v>
      </c>
      <c r="B10" s="1">
        <v>9</v>
      </c>
      <c r="C10" s="2"/>
      <c r="D10" s="2">
        <v>-1</v>
      </c>
      <c r="E10" s="2">
        <v>-3</v>
      </c>
      <c r="F10" s="2"/>
      <c r="G10" s="2">
        <v>40</v>
      </c>
      <c r="H10" s="35">
        <v>-7</v>
      </c>
      <c r="I10" s="2"/>
      <c r="J10" s="2"/>
      <c r="K10" s="35">
        <v>-13</v>
      </c>
      <c r="L10" s="2"/>
      <c r="M10" s="2"/>
      <c r="N10" s="35">
        <v>-5</v>
      </c>
      <c r="O10" s="2"/>
      <c r="P10" s="2"/>
      <c r="Q10" s="2"/>
      <c r="R10" s="35">
        <v>-3</v>
      </c>
      <c r="S10" s="35">
        <v>-28</v>
      </c>
      <c r="T10" s="1">
        <f t="shared" si="0"/>
        <v>-11</v>
      </c>
    </row>
    <row r="11" spans="1:20" x14ac:dyDescent="0.3">
      <c r="A11" s="2" t="s">
        <v>55</v>
      </c>
      <c r="B11" s="1">
        <v>15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1">
        <f t="shared" si="0"/>
        <v>15</v>
      </c>
    </row>
    <row r="12" spans="1:20" x14ac:dyDescent="0.3">
      <c r="A12" s="2" t="s">
        <v>57</v>
      </c>
      <c r="B12" s="1">
        <v>13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1">
        <f t="shared" si="0"/>
        <v>13</v>
      </c>
    </row>
    <row r="13" spans="1:20" x14ac:dyDescent="0.3">
      <c r="A13" s="2" t="s">
        <v>143</v>
      </c>
      <c r="B13" s="1">
        <v>1</v>
      </c>
      <c r="C13" s="2"/>
      <c r="D13" s="2"/>
      <c r="E13" s="2"/>
      <c r="F13" s="2"/>
      <c r="G13" s="2"/>
      <c r="H13" s="2"/>
      <c r="I13" s="2"/>
      <c r="J13" s="2"/>
      <c r="K13" s="35">
        <v>-1</v>
      </c>
      <c r="L13" s="2"/>
      <c r="M13" s="2"/>
      <c r="N13" s="2"/>
      <c r="O13" s="2">
        <v>1</v>
      </c>
      <c r="P13" s="2"/>
      <c r="Q13" s="2"/>
      <c r="R13" s="2"/>
      <c r="S13" s="2"/>
      <c r="T13" s="1">
        <f t="shared" si="0"/>
        <v>1</v>
      </c>
    </row>
    <row r="14" spans="1:20" x14ac:dyDescent="0.3">
      <c r="A14" s="2" t="s">
        <v>33</v>
      </c>
      <c r="B14" s="1">
        <v>23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>
        <v>2</v>
      </c>
      <c r="P14" s="2"/>
      <c r="Q14" s="2"/>
      <c r="R14" s="2"/>
      <c r="S14" s="2"/>
      <c r="T14" s="1">
        <f t="shared" si="0"/>
        <v>25</v>
      </c>
    </row>
    <row r="15" spans="1:20" x14ac:dyDescent="0.3">
      <c r="A15" s="2" t="s">
        <v>37</v>
      </c>
      <c r="B15" s="1">
        <v>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1">
        <f t="shared" si="0"/>
        <v>1</v>
      </c>
    </row>
    <row r="16" spans="1:20" x14ac:dyDescent="0.3">
      <c r="A16" s="2" t="s">
        <v>86</v>
      </c>
      <c r="B16" s="1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1">
        <f t="shared" si="0"/>
        <v>7</v>
      </c>
    </row>
    <row r="17" spans="1:20" x14ac:dyDescent="0.3">
      <c r="A17" s="2" t="s">
        <v>88</v>
      </c>
      <c r="B17" s="1">
        <v>6</v>
      </c>
      <c r="C17" s="2"/>
      <c r="D17" s="2"/>
      <c r="E17" s="2"/>
      <c r="F17" s="2"/>
      <c r="G17" s="2"/>
      <c r="H17" s="35">
        <v>-1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1">
        <f t="shared" si="0"/>
        <v>5</v>
      </c>
    </row>
    <row r="18" spans="1:20" x14ac:dyDescent="0.3">
      <c r="A18" s="1" t="s">
        <v>39</v>
      </c>
      <c r="B18" s="1">
        <f>SUM(B3:B17)</f>
        <v>399</v>
      </c>
      <c r="C18" s="1">
        <f>SUM(C3:C17)</f>
        <v>-15</v>
      </c>
      <c r="D18" s="1">
        <f t="shared" ref="D18:S18" si="1">SUM(D3:D17)</f>
        <v>-16</v>
      </c>
      <c r="E18" s="1">
        <f t="shared" si="1"/>
        <v>-6</v>
      </c>
      <c r="F18" s="1">
        <f t="shared" si="1"/>
        <v>-14</v>
      </c>
      <c r="G18" s="1">
        <f t="shared" si="1"/>
        <v>150</v>
      </c>
      <c r="H18" s="1">
        <f t="shared" si="1"/>
        <v>-89</v>
      </c>
      <c r="I18" s="1">
        <f t="shared" si="1"/>
        <v>-4</v>
      </c>
      <c r="J18" s="1">
        <f t="shared" si="1"/>
        <v>-16</v>
      </c>
      <c r="K18" s="1">
        <f t="shared" si="1"/>
        <v>-47</v>
      </c>
      <c r="L18" s="1">
        <f t="shared" si="1"/>
        <v>-19</v>
      </c>
      <c r="M18" s="1">
        <f t="shared" si="1"/>
        <v>200</v>
      </c>
      <c r="N18" s="1">
        <f t="shared" si="1"/>
        <v>-76</v>
      </c>
      <c r="O18" s="1">
        <f t="shared" si="1"/>
        <v>19</v>
      </c>
      <c r="P18" s="1">
        <f t="shared" si="1"/>
        <v>-3</v>
      </c>
      <c r="Q18" s="1">
        <f t="shared" si="1"/>
        <v>-2</v>
      </c>
      <c r="R18" s="1">
        <f t="shared" si="1"/>
        <v>-7</v>
      </c>
      <c r="S18" s="1">
        <f t="shared" si="1"/>
        <v>-85</v>
      </c>
      <c r="T18" s="1">
        <f t="shared" si="0"/>
        <v>369</v>
      </c>
    </row>
    <row r="20" spans="1:20" x14ac:dyDescent="0.3">
      <c r="A20" t="s">
        <v>130</v>
      </c>
    </row>
    <row r="22" spans="1:20" ht="15.6" x14ac:dyDescent="0.3">
      <c r="A22" s="31"/>
      <c r="B22" s="30"/>
    </row>
    <row r="23" spans="1:20" x14ac:dyDescent="0.3">
      <c r="A23" s="32" t="s">
        <v>131</v>
      </c>
      <c r="E23" s="36" t="s">
        <v>144</v>
      </c>
      <c r="H23" s="37" t="s">
        <v>145</v>
      </c>
      <c r="K23" s="37" t="s">
        <v>146</v>
      </c>
    </row>
    <row r="24" spans="1:20" x14ac:dyDescent="0.3">
      <c r="A24" s="32" t="s">
        <v>132</v>
      </c>
    </row>
    <row r="25" spans="1:20" x14ac:dyDescent="0.3">
      <c r="A25" s="32" t="s">
        <v>133</v>
      </c>
    </row>
    <row r="26" spans="1:20" x14ac:dyDescent="0.3">
      <c r="A26" s="32" t="s">
        <v>134</v>
      </c>
    </row>
    <row r="27" spans="1:20" x14ac:dyDescent="0.3">
      <c r="A27" s="32" t="s">
        <v>135</v>
      </c>
    </row>
    <row r="28" spans="1:20" x14ac:dyDescent="0.3">
      <c r="A28" s="32" t="s">
        <v>136</v>
      </c>
    </row>
    <row r="29" spans="1:20" x14ac:dyDescent="0.3">
      <c r="A29" s="32" t="s">
        <v>137</v>
      </c>
    </row>
    <row r="30" spans="1:20" x14ac:dyDescent="0.3">
      <c r="A30" s="32" t="s">
        <v>138</v>
      </c>
    </row>
    <row r="31" spans="1:20" x14ac:dyDescent="0.3">
      <c r="A31" s="32" t="s">
        <v>139</v>
      </c>
    </row>
    <row r="32" spans="1:20" x14ac:dyDescent="0.3">
      <c r="A32" s="32" t="s">
        <v>140</v>
      </c>
    </row>
    <row r="33" spans="1:1" x14ac:dyDescent="0.3">
      <c r="A33" s="32" t="s">
        <v>141</v>
      </c>
    </row>
  </sheetData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C6A0-9B72-4FF5-88BE-C211D8A70019}">
  <dimension ref="A1:W34"/>
  <sheetViews>
    <sheetView workbookViewId="0">
      <selection activeCell="M4" sqref="M4"/>
    </sheetView>
  </sheetViews>
  <sheetFormatPr defaultRowHeight="14.4" x14ac:dyDescent="0.3"/>
  <cols>
    <col min="1" max="1" width="22.88671875" bestFit="1" customWidth="1"/>
    <col min="3" max="22" width="8.88671875" customWidth="1"/>
  </cols>
  <sheetData>
    <row r="1" spans="1:23" ht="17.399999999999999" customHeight="1" x14ac:dyDescent="0.3">
      <c r="A1" s="29" t="s">
        <v>48</v>
      </c>
      <c r="B1" s="1"/>
      <c r="C1" s="9">
        <v>37316</v>
      </c>
      <c r="D1" s="9">
        <v>37316</v>
      </c>
      <c r="E1" s="9">
        <v>37681</v>
      </c>
      <c r="F1" s="9">
        <v>38047</v>
      </c>
      <c r="G1" s="9">
        <v>38777</v>
      </c>
      <c r="H1" s="9">
        <v>40603</v>
      </c>
      <c r="I1" s="9">
        <v>40969</v>
      </c>
      <c r="J1" s="9">
        <v>41334</v>
      </c>
      <c r="K1" s="9">
        <v>42430</v>
      </c>
      <c r="L1" s="9">
        <v>42795</v>
      </c>
      <c r="M1" s="9">
        <v>42795</v>
      </c>
      <c r="N1" s="9">
        <v>43160</v>
      </c>
      <c r="O1" s="9">
        <v>43891</v>
      </c>
      <c r="P1" s="9">
        <v>43891</v>
      </c>
      <c r="Q1" s="9">
        <v>44986</v>
      </c>
      <c r="R1" s="9">
        <v>45352</v>
      </c>
      <c r="S1" s="9">
        <v>45717</v>
      </c>
      <c r="T1" s="9">
        <v>46447</v>
      </c>
      <c r="U1" s="9">
        <v>47543</v>
      </c>
      <c r="V1" s="9">
        <v>47543</v>
      </c>
      <c r="W1" s="1"/>
    </row>
    <row r="2" spans="1:23" x14ac:dyDescent="0.3">
      <c r="A2" s="1" t="s">
        <v>1</v>
      </c>
      <c r="B2" s="1"/>
      <c r="C2" s="1"/>
      <c r="D2" s="1" t="s">
        <v>115</v>
      </c>
      <c r="E2" s="1" t="s">
        <v>5</v>
      </c>
      <c r="F2" s="1"/>
      <c r="G2" s="1"/>
      <c r="H2" s="1"/>
      <c r="I2" s="1"/>
      <c r="J2" s="1"/>
      <c r="K2" s="1"/>
      <c r="L2" s="1" t="s">
        <v>147</v>
      </c>
      <c r="M2" s="1"/>
      <c r="N2" s="1"/>
      <c r="O2" s="1" t="s">
        <v>5</v>
      </c>
      <c r="P2" s="1"/>
      <c r="Q2" s="1"/>
      <c r="R2" s="1"/>
      <c r="S2" s="1"/>
      <c r="T2" s="1"/>
      <c r="U2" s="1"/>
      <c r="V2" s="1" t="s">
        <v>148</v>
      </c>
      <c r="W2" s="1"/>
    </row>
    <row r="3" spans="1:23" x14ac:dyDescent="0.3">
      <c r="A3" s="2" t="s">
        <v>17</v>
      </c>
      <c r="B3" s="1">
        <v>106</v>
      </c>
      <c r="C3" s="2"/>
      <c r="D3" s="2"/>
      <c r="E3" s="2"/>
      <c r="F3" s="35">
        <v>-3</v>
      </c>
      <c r="G3" s="35">
        <v>-34</v>
      </c>
      <c r="H3" s="34"/>
      <c r="I3" s="34">
        <v>100</v>
      </c>
      <c r="J3" s="35">
        <v>-10</v>
      </c>
      <c r="K3" s="35">
        <v>-7</v>
      </c>
      <c r="L3" s="34"/>
      <c r="M3" s="35">
        <v>-7</v>
      </c>
      <c r="N3" s="35">
        <v>-6</v>
      </c>
      <c r="O3" s="34"/>
      <c r="P3" s="35">
        <v>-23</v>
      </c>
      <c r="Q3" s="34"/>
      <c r="R3" s="38">
        <v>-4</v>
      </c>
      <c r="S3" s="35">
        <v>-7</v>
      </c>
      <c r="T3" s="35">
        <v>-38</v>
      </c>
      <c r="U3" s="2"/>
      <c r="V3" s="2">
        <v>-1</v>
      </c>
      <c r="W3" s="1">
        <f>SUM(B3:V3)</f>
        <v>66</v>
      </c>
    </row>
    <row r="4" spans="1:23" ht="15" customHeight="1" x14ac:dyDescent="0.3">
      <c r="A4" s="2" t="s">
        <v>6</v>
      </c>
      <c r="B4" s="1">
        <v>41</v>
      </c>
      <c r="C4" s="2"/>
      <c r="D4" s="2"/>
      <c r="E4" s="2"/>
      <c r="F4" s="2"/>
      <c r="G4" s="39">
        <v>-3</v>
      </c>
      <c r="H4" s="2"/>
      <c r="I4" s="2"/>
      <c r="J4" s="2">
        <v>-4</v>
      </c>
      <c r="K4" s="35">
        <v>-1</v>
      </c>
      <c r="L4" s="2">
        <v>27</v>
      </c>
      <c r="M4" s="2"/>
      <c r="N4" s="35">
        <v>-4</v>
      </c>
      <c r="O4" s="2"/>
      <c r="P4" s="2">
        <v>-14</v>
      </c>
      <c r="Q4" s="2"/>
      <c r="R4" s="2"/>
      <c r="S4" s="2"/>
      <c r="T4" s="35">
        <v>-7</v>
      </c>
      <c r="U4" s="2"/>
      <c r="V4" s="2"/>
      <c r="W4" s="1">
        <f t="shared" ref="W4:W19" si="0">SUM(B4:V4)</f>
        <v>35</v>
      </c>
    </row>
    <row r="5" spans="1:23" x14ac:dyDescent="0.3">
      <c r="A5" s="2" t="s">
        <v>126</v>
      </c>
      <c r="B5" s="1">
        <v>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">
        <f t="shared" si="0"/>
        <v>0</v>
      </c>
    </row>
    <row r="6" spans="1:23" x14ac:dyDescent="0.3">
      <c r="A6" s="2" t="s">
        <v>149</v>
      </c>
      <c r="B6" s="1">
        <v>28</v>
      </c>
      <c r="C6" s="2"/>
      <c r="D6" s="2"/>
      <c r="E6" s="2"/>
      <c r="F6" s="2"/>
      <c r="G6" s="35">
        <v>-1</v>
      </c>
      <c r="H6" s="2"/>
      <c r="I6" s="2"/>
      <c r="J6" s="35">
        <v>-5</v>
      </c>
      <c r="K6" s="2"/>
      <c r="L6" s="2"/>
      <c r="M6" s="2"/>
      <c r="N6" s="2"/>
      <c r="O6" s="2"/>
      <c r="P6" s="2">
        <v>-2</v>
      </c>
      <c r="Q6" s="2"/>
      <c r="R6" s="2">
        <v>-2</v>
      </c>
      <c r="S6" s="2">
        <v>-3</v>
      </c>
      <c r="T6" s="2">
        <v>-4</v>
      </c>
      <c r="U6" s="2"/>
      <c r="V6" s="2"/>
      <c r="W6" s="1">
        <f t="shared" si="0"/>
        <v>11</v>
      </c>
    </row>
    <row r="7" spans="1:23" x14ac:dyDescent="0.3">
      <c r="A7" s="2" t="s">
        <v>121</v>
      </c>
      <c r="B7" s="1">
        <v>11</v>
      </c>
      <c r="C7" s="2"/>
      <c r="D7" s="2"/>
      <c r="E7" s="2"/>
      <c r="F7" s="2"/>
      <c r="G7" s="2"/>
      <c r="H7" s="2"/>
      <c r="I7" s="2"/>
      <c r="J7" s="35">
        <v>-1</v>
      </c>
      <c r="K7" s="2"/>
      <c r="L7" s="2"/>
      <c r="M7" s="2"/>
      <c r="N7" s="2"/>
      <c r="O7" s="2"/>
      <c r="P7" s="2">
        <v>-1</v>
      </c>
      <c r="Q7" s="2"/>
      <c r="R7" s="2"/>
      <c r="S7" s="2"/>
      <c r="T7" s="2"/>
      <c r="U7" s="2">
        <v>-1</v>
      </c>
      <c r="V7" s="2"/>
      <c r="W7" s="1">
        <f t="shared" si="0"/>
        <v>8</v>
      </c>
    </row>
    <row r="8" spans="1:23" x14ac:dyDescent="0.3">
      <c r="A8" s="2" t="s">
        <v>122</v>
      </c>
      <c r="B8" s="1">
        <v>19</v>
      </c>
      <c r="C8" s="2"/>
      <c r="D8" s="2"/>
      <c r="E8" s="2"/>
      <c r="F8" s="2"/>
      <c r="G8" s="2"/>
      <c r="H8" s="2"/>
      <c r="I8" s="2"/>
      <c r="J8" s="35">
        <v>-11</v>
      </c>
      <c r="K8" s="2"/>
      <c r="L8" s="2"/>
      <c r="M8" s="2"/>
      <c r="N8" s="2"/>
      <c r="O8" s="2"/>
      <c r="P8" s="2"/>
      <c r="Q8" s="2"/>
      <c r="R8" s="2"/>
      <c r="S8" s="2"/>
      <c r="T8" s="2">
        <v>-4</v>
      </c>
      <c r="U8" s="2"/>
      <c r="V8" s="2"/>
      <c r="W8" s="1">
        <f t="shared" si="0"/>
        <v>4</v>
      </c>
    </row>
    <row r="9" spans="1:23" x14ac:dyDescent="0.3">
      <c r="A9" s="2" t="s">
        <v>24</v>
      </c>
      <c r="B9" s="1">
        <v>108</v>
      </c>
      <c r="C9" s="2"/>
      <c r="D9" s="2">
        <v>-40</v>
      </c>
      <c r="E9" s="2"/>
      <c r="F9" s="2"/>
      <c r="G9" s="35">
        <v>-11</v>
      </c>
      <c r="H9" s="35">
        <v>-6</v>
      </c>
      <c r="I9" s="34">
        <v>100</v>
      </c>
      <c r="J9" s="38">
        <v>-18</v>
      </c>
      <c r="K9" s="35">
        <v>-19</v>
      </c>
      <c r="L9" s="34"/>
      <c r="M9" s="35">
        <v>-5</v>
      </c>
      <c r="N9" s="35">
        <v>-16</v>
      </c>
      <c r="O9" s="34"/>
      <c r="P9" s="35">
        <v>-20</v>
      </c>
      <c r="Q9" s="35">
        <v>-7</v>
      </c>
      <c r="R9" s="34"/>
      <c r="S9" s="35">
        <v>-11</v>
      </c>
      <c r="T9" s="35">
        <v>-30</v>
      </c>
      <c r="U9" s="2">
        <v>-3</v>
      </c>
      <c r="V9" s="2">
        <v>10</v>
      </c>
      <c r="W9" s="1">
        <f t="shared" si="0"/>
        <v>32</v>
      </c>
    </row>
    <row r="10" spans="1:23" x14ac:dyDescent="0.3">
      <c r="A10" s="2" t="s">
        <v>150</v>
      </c>
      <c r="B10" s="1"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>
        <v>2</v>
      </c>
      <c r="P10" s="2">
        <v>-2</v>
      </c>
      <c r="Q10" s="2"/>
      <c r="R10" s="2"/>
      <c r="S10" s="2"/>
      <c r="T10" s="2"/>
      <c r="U10" s="2"/>
      <c r="V10" s="2"/>
      <c r="W10" s="1">
        <f t="shared" si="0"/>
        <v>0</v>
      </c>
    </row>
    <row r="11" spans="1:23" x14ac:dyDescent="0.3">
      <c r="A11" s="2" t="s">
        <v>30</v>
      </c>
      <c r="B11" s="1">
        <v>-11</v>
      </c>
      <c r="C11" s="2"/>
      <c r="D11" s="2"/>
      <c r="E11" s="2">
        <v>40</v>
      </c>
      <c r="F11" s="2"/>
      <c r="G11" s="35">
        <v>-7</v>
      </c>
      <c r="H11" s="35">
        <v>-1</v>
      </c>
      <c r="I11" s="2"/>
      <c r="J11" s="2"/>
      <c r="K11" s="2"/>
      <c r="L11" s="2">
        <v>20</v>
      </c>
      <c r="M11" s="2"/>
      <c r="N11" s="35">
        <v>-3</v>
      </c>
      <c r="O11" s="2"/>
      <c r="P11" s="2">
        <v>-18</v>
      </c>
      <c r="Q11" s="2"/>
      <c r="R11" s="2">
        <v>-1</v>
      </c>
      <c r="S11" s="2"/>
      <c r="T11" s="2">
        <v>-4</v>
      </c>
      <c r="U11" s="2"/>
      <c r="V11" s="2"/>
      <c r="W11" s="1">
        <f t="shared" si="0"/>
        <v>15</v>
      </c>
    </row>
    <row r="12" spans="1:23" x14ac:dyDescent="0.3">
      <c r="A12" s="2" t="s">
        <v>55</v>
      </c>
      <c r="B12" s="1">
        <v>15</v>
      </c>
      <c r="C12" s="2"/>
      <c r="D12" s="2"/>
      <c r="E12" s="2"/>
      <c r="F12" s="2"/>
      <c r="G12" s="2"/>
      <c r="H12" s="2"/>
      <c r="I12" s="2"/>
      <c r="J12" s="35">
        <v>-2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1">
        <f t="shared" si="0"/>
        <v>13</v>
      </c>
    </row>
    <row r="13" spans="1:23" x14ac:dyDescent="0.3">
      <c r="A13" s="2" t="s">
        <v>57</v>
      </c>
      <c r="B13" s="1">
        <v>13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1">
        <f t="shared" si="0"/>
        <v>13</v>
      </c>
    </row>
    <row r="14" spans="1:23" x14ac:dyDescent="0.3">
      <c r="A14" s="2" t="s">
        <v>143</v>
      </c>
      <c r="B14" s="1">
        <v>1</v>
      </c>
      <c r="C14" s="35">
        <v>-1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1">
        <f t="shared" si="0"/>
        <v>0</v>
      </c>
    </row>
    <row r="15" spans="1:23" x14ac:dyDescent="0.3">
      <c r="A15" s="2" t="s">
        <v>33</v>
      </c>
      <c r="B15" s="1">
        <v>25</v>
      </c>
      <c r="C15" s="2"/>
      <c r="D15" s="2"/>
      <c r="E15" s="2"/>
      <c r="F15" s="2"/>
      <c r="G15" s="2"/>
      <c r="H15" s="2"/>
      <c r="I15" s="2"/>
      <c r="J15" s="35">
        <v>-5</v>
      </c>
      <c r="K15" s="2"/>
      <c r="L15" s="2"/>
      <c r="M15" s="2"/>
      <c r="N15" s="35">
        <v>-1</v>
      </c>
      <c r="O15" s="2"/>
      <c r="P15" s="2">
        <v>-3</v>
      </c>
      <c r="Q15" s="2"/>
      <c r="R15" s="2"/>
      <c r="S15" s="2">
        <v>-1</v>
      </c>
      <c r="T15" s="2">
        <v>-1</v>
      </c>
      <c r="U15" s="2"/>
      <c r="V15" s="2"/>
      <c r="W15" s="1">
        <f t="shared" si="0"/>
        <v>14</v>
      </c>
    </row>
    <row r="16" spans="1:23" x14ac:dyDescent="0.3">
      <c r="A16" s="2" t="s">
        <v>37</v>
      </c>
      <c r="B16" s="1">
        <v>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1">
        <f t="shared" si="0"/>
        <v>1</v>
      </c>
    </row>
    <row r="17" spans="1:23" x14ac:dyDescent="0.3">
      <c r="A17" s="2" t="s">
        <v>86</v>
      </c>
      <c r="B17" s="1">
        <v>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1">
        <f t="shared" si="0"/>
        <v>7</v>
      </c>
    </row>
    <row r="18" spans="1:23" x14ac:dyDescent="0.3">
      <c r="A18" s="2" t="s">
        <v>88</v>
      </c>
      <c r="B18" s="1">
        <v>5</v>
      </c>
      <c r="C18" s="2"/>
      <c r="D18" s="2"/>
      <c r="E18" s="2"/>
      <c r="F18" s="2"/>
      <c r="G18" s="35">
        <v>-1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>
        <v>-2</v>
      </c>
      <c r="U18" s="2"/>
      <c r="V18" s="2"/>
      <c r="W18" s="1">
        <f t="shared" si="0"/>
        <v>2</v>
      </c>
    </row>
    <row r="19" spans="1:23" x14ac:dyDescent="0.3">
      <c r="A19" s="1" t="s">
        <v>39</v>
      </c>
      <c r="B19" s="1">
        <f>SUM(B3:B18)</f>
        <v>369</v>
      </c>
      <c r="C19" s="1">
        <f>SUM(C3:C18)</f>
        <v>-1</v>
      </c>
      <c r="D19" s="1">
        <f t="shared" ref="D19:U19" si="1">SUM(D3:D18)</f>
        <v>-40</v>
      </c>
      <c r="E19" s="1">
        <f t="shared" si="1"/>
        <v>40</v>
      </c>
      <c r="F19" s="1">
        <f t="shared" si="1"/>
        <v>-3</v>
      </c>
      <c r="G19" s="1">
        <f t="shared" si="1"/>
        <v>-57</v>
      </c>
      <c r="H19" s="1">
        <f t="shared" si="1"/>
        <v>-7</v>
      </c>
      <c r="I19" s="1">
        <f t="shared" si="1"/>
        <v>200</v>
      </c>
      <c r="J19" s="1">
        <f t="shared" si="1"/>
        <v>-56</v>
      </c>
      <c r="K19" s="1">
        <f t="shared" si="1"/>
        <v>-27</v>
      </c>
      <c r="L19" s="1">
        <f t="shared" si="1"/>
        <v>47</v>
      </c>
      <c r="M19" s="1">
        <f t="shared" si="1"/>
        <v>-12</v>
      </c>
      <c r="N19" s="1">
        <f t="shared" si="1"/>
        <v>-30</v>
      </c>
      <c r="O19" s="1">
        <f t="shared" si="1"/>
        <v>2</v>
      </c>
      <c r="P19" s="1">
        <f t="shared" si="1"/>
        <v>-83</v>
      </c>
      <c r="Q19" s="1">
        <f t="shared" si="1"/>
        <v>-7</v>
      </c>
      <c r="R19" s="1">
        <f t="shared" si="1"/>
        <v>-7</v>
      </c>
      <c r="S19" s="1">
        <f t="shared" si="1"/>
        <v>-22</v>
      </c>
      <c r="T19" s="1">
        <f t="shared" si="1"/>
        <v>-90</v>
      </c>
      <c r="U19" s="1">
        <f t="shared" si="1"/>
        <v>-4</v>
      </c>
      <c r="V19" s="1"/>
      <c r="W19" s="1">
        <f t="shared" si="0"/>
        <v>212</v>
      </c>
    </row>
    <row r="21" spans="1:23" x14ac:dyDescent="0.3">
      <c r="A21" t="s">
        <v>130</v>
      </c>
    </row>
    <row r="23" spans="1:23" ht="15.6" x14ac:dyDescent="0.3">
      <c r="A23" s="31"/>
      <c r="B23" s="30"/>
    </row>
    <row r="24" spans="1:23" x14ac:dyDescent="0.3">
      <c r="A24" s="32" t="s">
        <v>131</v>
      </c>
      <c r="E24" s="33" t="s">
        <v>144</v>
      </c>
      <c r="H24" t="s">
        <v>145</v>
      </c>
      <c r="K24" t="s">
        <v>146</v>
      </c>
      <c r="N24" t="s">
        <v>151</v>
      </c>
    </row>
    <row r="25" spans="1:23" x14ac:dyDescent="0.3">
      <c r="A25" s="32" t="s">
        <v>132</v>
      </c>
      <c r="E25" t="s">
        <v>152</v>
      </c>
      <c r="H25" t="s">
        <v>153</v>
      </c>
    </row>
    <row r="26" spans="1:23" x14ac:dyDescent="0.3">
      <c r="A26" s="32" t="s">
        <v>133</v>
      </c>
      <c r="G26" t="s">
        <v>154</v>
      </c>
    </row>
    <row r="27" spans="1:23" x14ac:dyDescent="0.3">
      <c r="A27" s="32" t="s">
        <v>134</v>
      </c>
      <c r="G27" t="s">
        <v>155</v>
      </c>
    </row>
    <row r="28" spans="1:23" x14ac:dyDescent="0.3">
      <c r="A28" s="32" t="s">
        <v>135</v>
      </c>
    </row>
    <row r="29" spans="1:23" x14ac:dyDescent="0.3">
      <c r="A29" s="32" t="s">
        <v>136</v>
      </c>
    </row>
    <row r="30" spans="1:23" x14ac:dyDescent="0.3">
      <c r="A30" s="32" t="s">
        <v>137</v>
      </c>
      <c r="G30" t="s">
        <v>156</v>
      </c>
      <c r="K30" t="s">
        <v>157</v>
      </c>
    </row>
    <row r="31" spans="1:23" x14ac:dyDescent="0.3">
      <c r="A31" s="32" t="s">
        <v>138</v>
      </c>
      <c r="E31" t="s">
        <v>158</v>
      </c>
    </row>
    <row r="32" spans="1:23" x14ac:dyDescent="0.3">
      <c r="A32" s="32" t="s">
        <v>139</v>
      </c>
      <c r="G32" t="s">
        <v>159</v>
      </c>
    </row>
    <row r="33" spans="1:1" x14ac:dyDescent="0.3">
      <c r="A33" s="32" t="s">
        <v>140</v>
      </c>
    </row>
    <row r="34" spans="1:1" x14ac:dyDescent="0.3">
      <c r="A34" s="32" t="s">
        <v>141</v>
      </c>
    </row>
  </sheetData>
  <pageMargins left="0.7" right="0.7" top="0.75" bottom="0.75" header="0.3" footer="0.3"/>
  <pageSetup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62AC-1D9B-4733-9810-796514066589}">
  <sheetPr>
    <pageSetUpPr fitToPage="1"/>
  </sheetPr>
  <dimension ref="A1:AA26"/>
  <sheetViews>
    <sheetView topLeftCell="E1" workbookViewId="0">
      <selection activeCell="A16" sqref="A16:XFD16"/>
    </sheetView>
  </sheetViews>
  <sheetFormatPr defaultRowHeight="14.4" x14ac:dyDescent="0.3"/>
  <cols>
    <col min="1" max="1" width="23.44140625" bestFit="1" customWidth="1"/>
    <col min="3" max="26" width="8.88671875" customWidth="1"/>
  </cols>
  <sheetData>
    <row r="1" spans="1:27" x14ac:dyDescent="0.3">
      <c r="A1" s="29" t="s">
        <v>160</v>
      </c>
      <c r="B1" s="1"/>
      <c r="C1" s="9">
        <v>37347</v>
      </c>
      <c r="D1" s="9">
        <v>38808</v>
      </c>
      <c r="E1" s="9">
        <v>39173</v>
      </c>
      <c r="F1" s="9">
        <v>39173</v>
      </c>
      <c r="G1" s="9">
        <v>39539</v>
      </c>
      <c r="H1" s="9">
        <v>39539</v>
      </c>
      <c r="I1" s="9">
        <v>39904</v>
      </c>
      <c r="J1" s="9">
        <v>40269</v>
      </c>
      <c r="K1" s="9">
        <v>41730</v>
      </c>
      <c r="L1" s="9">
        <v>42095</v>
      </c>
      <c r="M1" s="9">
        <v>42095</v>
      </c>
      <c r="N1" s="9">
        <v>42826</v>
      </c>
      <c r="O1" s="9">
        <v>43922</v>
      </c>
      <c r="P1" s="9">
        <v>43922</v>
      </c>
      <c r="Q1" s="9">
        <v>44287</v>
      </c>
      <c r="R1" s="9">
        <v>44287</v>
      </c>
      <c r="S1" s="9">
        <v>44652</v>
      </c>
      <c r="T1" s="9">
        <v>45383</v>
      </c>
      <c r="U1" s="9">
        <v>45383</v>
      </c>
      <c r="V1" s="9">
        <v>46844</v>
      </c>
      <c r="W1" s="9">
        <v>47209</v>
      </c>
      <c r="X1" s="9">
        <v>47209</v>
      </c>
      <c r="Y1" s="9">
        <v>47574</v>
      </c>
      <c r="Z1" s="9">
        <v>47574</v>
      </c>
      <c r="AA1" s="1"/>
    </row>
    <row r="2" spans="1:27" x14ac:dyDescent="0.3">
      <c r="A2" s="1" t="s">
        <v>1</v>
      </c>
      <c r="B2" s="1"/>
      <c r="C2" s="1" t="s">
        <v>5</v>
      </c>
      <c r="D2" s="1"/>
      <c r="E2" s="1"/>
      <c r="F2" s="1" t="s">
        <v>4</v>
      </c>
      <c r="G2" s="1" t="s">
        <v>5</v>
      </c>
      <c r="H2" s="1"/>
      <c r="I2" s="1"/>
      <c r="J2" s="1" t="s">
        <v>4</v>
      </c>
      <c r="K2" s="1"/>
      <c r="L2" s="1"/>
      <c r="M2" s="1" t="s">
        <v>5</v>
      </c>
      <c r="N2" s="1"/>
      <c r="O2" s="1" t="s">
        <v>5</v>
      </c>
      <c r="P2" s="1"/>
      <c r="Q2" s="1"/>
      <c r="R2" s="1" t="s">
        <v>4</v>
      </c>
      <c r="S2" s="1"/>
      <c r="T2" s="1"/>
      <c r="U2" s="1" t="s">
        <v>5</v>
      </c>
      <c r="V2" s="1"/>
      <c r="W2" s="1"/>
      <c r="X2" s="1" t="s">
        <v>161</v>
      </c>
      <c r="Y2" s="1"/>
      <c r="Z2" s="1" t="s">
        <v>4</v>
      </c>
      <c r="AA2" s="1"/>
    </row>
    <row r="3" spans="1:27" x14ac:dyDescent="0.3">
      <c r="A3" s="2" t="s">
        <v>17</v>
      </c>
      <c r="B3" s="1">
        <v>66</v>
      </c>
      <c r="C3" s="2"/>
      <c r="D3" s="2">
        <v>-2</v>
      </c>
      <c r="E3" s="2">
        <v>-12</v>
      </c>
      <c r="F3" s="2">
        <v>2</v>
      </c>
      <c r="G3" s="2"/>
      <c r="H3" s="2">
        <v>-16</v>
      </c>
      <c r="I3" s="2">
        <v>-2</v>
      </c>
      <c r="J3" s="2"/>
      <c r="K3" s="2">
        <v>-5</v>
      </c>
      <c r="L3" s="2">
        <v>-4</v>
      </c>
      <c r="M3" s="2">
        <v>145</v>
      </c>
      <c r="N3" s="2">
        <v>-24</v>
      </c>
      <c r="O3" s="2"/>
      <c r="P3" s="2"/>
      <c r="Q3" s="2"/>
      <c r="R3" s="2"/>
      <c r="S3" s="2">
        <v>-21</v>
      </c>
      <c r="T3" s="2">
        <v>-36</v>
      </c>
      <c r="U3" s="2"/>
      <c r="V3" s="2"/>
      <c r="W3" s="2">
        <v>-10</v>
      </c>
      <c r="X3" s="2">
        <v>-30</v>
      </c>
      <c r="Y3" s="2"/>
      <c r="Z3" s="2"/>
      <c r="AA3" s="1">
        <f>SUM(B3:Z3)</f>
        <v>51</v>
      </c>
    </row>
    <row r="4" spans="1:27" x14ac:dyDescent="0.3">
      <c r="A4" s="2" t="s">
        <v>6</v>
      </c>
      <c r="B4" s="1">
        <v>35</v>
      </c>
      <c r="C4" s="2"/>
      <c r="D4" s="2">
        <v>-6</v>
      </c>
      <c r="E4" s="2">
        <v>-15</v>
      </c>
      <c r="F4" s="2"/>
      <c r="G4" s="2"/>
      <c r="H4" s="2">
        <v>-5</v>
      </c>
      <c r="I4" s="2"/>
      <c r="J4" s="2">
        <v>30</v>
      </c>
      <c r="K4" s="2">
        <v>-5</v>
      </c>
      <c r="L4" s="2">
        <v>-2</v>
      </c>
      <c r="M4" s="2"/>
      <c r="N4" s="2">
        <v>-5</v>
      </c>
      <c r="O4" s="2"/>
      <c r="P4" s="2">
        <v>60</v>
      </c>
      <c r="Q4" s="2">
        <v>-13</v>
      </c>
      <c r="R4" s="2"/>
      <c r="S4" s="2">
        <v>-7</v>
      </c>
      <c r="T4" s="2">
        <v>-26</v>
      </c>
      <c r="U4" s="2"/>
      <c r="V4" s="2"/>
      <c r="W4" s="2">
        <v>-10</v>
      </c>
      <c r="X4" s="2">
        <v>-15</v>
      </c>
      <c r="Y4" s="2">
        <v>-3</v>
      </c>
      <c r="Z4" s="2"/>
      <c r="AA4" s="1">
        <f t="shared" ref="AA4:AA20" si="0">SUM(B4:Z4)</f>
        <v>13</v>
      </c>
    </row>
    <row r="5" spans="1:27" x14ac:dyDescent="0.3">
      <c r="A5" s="2" t="s">
        <v>126</v>
      </c>
      <c r="B5" s="1">
        <v>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1">
        <f t="shared" si="0"/>
        <v>0</v>
      </c>
    </row>
    <row r="6" spans="1:27" x14ac:dyDescent="0.3">
      <c r="A6" s="2" t="s">
        <v>149</v>
      </c>
      <c r="B6" s="1">
        <v>11</v>
      </c>
      <c r="C6" s="2"/>
      <c r="D6" s="2"/>
      <c r="E6" s="2">
        <v>-4</v>
      </c>
      <c r="F6" s="2"/>
      <c r="G6" s="2"/>
      <c r="H6" s="2"/>
      <c r="I6" s="2"/>
      <c r="J6" s="2"/>
      <c r="K6" s="2"/>
      <c r="L6" s="2"/>
      <c r="M6" s="2"/>
      <c r="N6" s="2">
        <v>-9</v>
      </c>
      <c r="O6" s="2">
        <v>2</v>
      </c>
      <c r="P6" s="2"/>
      <c r="Q6" s="2"/>
      <c r="R6" s="2"/>
      <c r="S6" s="2"/>
      <c r="T6" s="2">
        <v>-1</v>
      </c>
      <c r="U6" s="2"/>
      <c r="V6" s="2"/>
      <c r="W6" s="2">
        <v>-4</v>
      </c>
      <c r="X6" s="2"/>
      <c r="Y6" s="2"/>
      <c r="Z6" s="2">
        <v>20</v>
      </c>
      <c r="AA6" s="1">
        <f t="shared" si="0"/>
        <v>15</v>
      </c>
    </row>
    <row r="7" spans="1:27" x14ac:dyDescent="0.3">
      <c r="A7" s="2" t="s">
        <v>121</v>
      </c>
      <c r="B7" s="1">
        <v>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>
        <v>-2</v>
      </c>
      <c r="O7" s="2"/>
      <c r="P7" s="2"/>
      <c r="Q7" s="2"/>
      <c r="R7" s="2"/>
      <c r="S7" s="2">
        <v>-1</v>
      </c>
      <c r="T7" s="2"/>
      <c r="U7" s="2"/>
      <c r="V7" s="2"/>
      <c r="W7" s="2"/>
      <c r="X7" s="2"/>
      <c r="Y7" s="2"/>
      <c r="Z7" s="2">
        <v>5</v>
      </c>
      <c r="AA7" s="1">
        <f t="shared" si="0"/>
        <v>10</v>
      </c>
    </row>
    <row r="8" spans="1:27" ht="15" customHeight="1" x14ac:dyDescent="0.3">
      <c r="A8" s="2" t="s">
        <v>122</v>
      </c>
      <c r="B8" s="1">
        <v>4</v>
      </c>
      <c r="C8" s="2"/>
      <c r="D8" s="2"/>
      <c r="E8" s="2"/>
      <c r="F8" s="2"/>
      <c r="G8" s="2"/>
      <c r="H8" s="2">
        <v>-2</v>
      </c>
      <c r="I8" s="2"/>
      <c r="J8" s="2"/>
      <c r="K8" s="2"/>
      <c r="L8" s="2"/>
      <c r="M8" s="2"/>
      <c r="N8" s="2">
        <v>-2</v>
      </c>
      <c r="O8" s="2"/>
      <c r="P8" s="2"/>
      <c r="Q8" s="2">
        <v>-1</v>
      </c>
      <c r="R8" s="2">
        <v>1</v>
      </c>
      <c r="S8" s="2"/>
      <c r="T8" s="2">
        <v>-4</v>
      </c>
      <c r="U8" s="2"/>
      <c r="V8" s="2">
        <v>-4</v>
      </c>
      <c r="W8" s="2">
        <v>-1</v>
      </c>
      <c r="X8" s="2"/>
      <c r="Y8" s="2"/>
      <c r="Z8" s="2">
        <v>10</v>
      </c>
      <c r="AA8" s="1">
        <f t="shared" si="0"/>
        <v>1</v>
      </c>
    </row>
    <row r="9" spans="1:27" x14ac:dyDescent="0.3">
      <c r="A9" s="2" t="s">
        <v>24</v>
      </c>
      <c r="B9" s="1">
        <v>32</v>
      </c>
      <c r="C9" s="2">
        <v>100</v>
      </c>
      <c r="D9" s="2"/>
      <c r="E9" s="2">
        <v>-18</v>
      </c>
      <c r="F9" s="2">
        <v>109</v>
      </c>
      <c r="G9" s="2"/>
      <c r="H9" s="2">
        <v>-10</v>
      </c>
      <c r="I9" s="2"/>
      <c r="J9" s="2"/>
      <c r="K9" s="2">
        <v>-2</v>
      </c>
      <c r="L9" s="2">
        <v>-2</v>
      </c>
      <c r="M9" s="2"/>
      <c r="N9" s="2">
        <v>-17</v>
      </c>
      <c r="O9" s="2"/>
      <c r="P9" s="2"/>
      <c r="Q9" s="2"/>
      <c r="R9" s="2"/>
      <c r="S9" s="2">
        <v>-17</v>
      </c>
      <c r="T9" s="2">
        <v>-15</v>
      </c>
      <c r="U9" s="2"/>
      <c r="V9" s="2"/>
      <c r="W9" s="2">
        <v>-6</v>
      </c>
      <c r="X9" s="2">
        <v>-30</v>
      </c>
      <c r="Y9" s="2">
        <v>-2</v>
      </c>
      <c r="Z9" s="2"/>
      <c r="AA9" s="1">
        <f t="shared" si="0"/>
        <v>122</v>
      </c>
    </row>
    <row r="10" spans="1:27" x14ac:dyDescent="0.3">
      <c r="A10" s="2" t="s">
        <v>162</v>
      </c>
      <c r="B10" s="1"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>
        <v>7</v>
      </c>
      <c r="S10" s="2"/>
      <c r="T10" s="2">
        <v>-2</v>
      </c>
      <c r="U10" s="2"/>
      <c r="V10" s="2"/>
      <c r="W10" s="2"/>
      <c r="X10" s="2"/>
      <c r="Y10" s="2"/>
      <c r="Z10" s="2"/>
      <c r="AA10" s="1">
        <f t="shared" si="0"/>
        <v>5</v>
      </c>
    </row>
    <row r="11" spans="1:27" x14ac:dyDescent="0.3">
      <c r="A11" s="2" t="s">
        <v>150</v>
      </c>
      <c r="B11" s="1"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>
        <v>-2</v>
      </c>
      <c r="U11" s="2"/>
      <c r="V11" s="2"/>
      <c r="W11" s="2"/>
      <c r="X11" s="2"/>
      <c r="Y11" s="2"/>
      <c r="Z11" s="2"/>
      <c r="AA11" s="1">
        <f t="shared" si="0"/>
        <v>-2</v>
      </c>
    </row>
    <row r="12" spans="1:27" x14ac:dyDescent="0.3">
      <c r="A12" s="2" t="s">
        <v>30</v>
      </c>
      <c r="B12" s="1">
        <v>16</v>
      </c>
      <c r="C12" s="2"/>
      <c r="D12" s="2"/>
      <c r="E12" s="2">
        <v>-12</v>
      </c>
      <c r="F12" s="2"/>
      <c r="G12" s="2"/>
      <c r="H12" s="2">
        <v>-2</v>
      </c>
      <c r="I12" s="2">
        <v>-2</v>
      </c>
      <c r="J12" s="2">
        <v>30</v>
      </c>
      <c r="K12" s="2">
        <v>-7</v>
      </c>
      <c r="L12" s="2">
        <v>-7</v>
      </c>
      <c r="M12" s="2"/>
      <c r="N12" s="2">
        <v>-4</v>
      </c>
      <c r="O12" s="2"/>
      <c r="P12" s="2">
        <v>50</v>
      </c>
      <c r="Q12" s="2">
        <v>-3</v>
      </c>
      <c r="R12" s="2"/>
      <c r="S12" s="2"/>
      <c r="T12" s="2">
        <v>-13</v>
      </c>
      <c r="U12" s="2"/>
      <c r="V12" s="2"/>
      <c r="W12" s="2"/>
      <c r="X12" s="2"/>
      <c r="Y12" s="2">
        <v>-3</v>
      </c>
      <c r="Z12" s="2"/>
      <c r="AA12" s="1">
        <f t="shared" si="0"/>
        <v>43</v>
      </c>
    </row>
    <row r="13" spans="1:27" x14ac:dyDescent="0.3">
      <c r="A13" s="2" t="s">
        <v>55</v>
      </c>
      <c r="B13" s="1">
        <v>13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1">
        <f t="shared" si="0"/>
        <v>13</v>
      </c>
    </row>
    <row r="14" spans="1:27" x14ac:dyDescent="0.3">
      <c r="A14" s="2" t="s">
        <v>57</v>
      </c>
      <c r="B14" s="1">
        <v>13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1">
        <f t="shared" si="0"/>
        <v>13</v>
      </c>
    </row>
    <row r="15" spans="1:27" x14ac:dyDescent="0.3">
      <c r="A15" s="2" t="s">
        <v>143</v>
      </c>
      <c r="B15" s="1"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1">
        <f t="shared" si="0"/>
        <v>0</v>
      </c>
    </row>
    <row r="16" spans="1:27" x14ac:dyDescent="0.3">
      <c r="A16" s="2" t="s">
        <v>33</v>
      </c>
      <c r="B16" s="1">
        <v>14</v>
      </c>
      <c r="C16" s="2"/>
      <c r="D16" s="2"/>
      <c r="E16" s="2"/>
      <c r="F16" s="2"/>
      <c r="G16" s="2">
        <v>15</v>
      </c>
      <c r="H16" s="2"/>
      <c r="I16" s="2"/>
      <c r="J16" s="2"/>
      <c r="K16" s="2"/>
      <c r="L16" s="2"/>
      <c r="M16" s="2"/>
      <c r="N16" s="2">
        <v>-9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1">
        <f t="shared" si="0"/>
        <v>20</v>
      </c>
    </row>
    <row r="17" spans="1:27" x14ac:dyDescent="0.3">
      <c r="A17" s="2" t="s">
        <v>37</v>
      </c>
      <c r="B17" s="1">
        <v>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1">
        <f t="shared" si="0"/>
        <v>1</v>
      </c>
    </row>
    <row r="18" spans="1:27" x14ac:dyDescent="0.3">
      <c r="A18" s="2" t="s">
        <v>86</v>
      </c>
      <c r="B18" s="1">
        <v>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1">
        <f t="shared" si="0"/>
        <v>7</v>
      </c>
    </row>
    <row r="19" spans="1:27" x14ac:dyDescent="0.3">
      <c r="A19" s="2" t="s">
        <v>88</v>
      </c>
      <c r="B19" s="1">
        <v>2</v>
      </c>
      <c r="C19" s="2"/>
      <c r="D19" s="2"/>
      <c r="E19" s="2">
        <v>-1</v>
      </c>
      <c r="F19" s="2"/>
      <c r="G19" s="2"/>
      <c r="H19" s="2">
        <v>-1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>
        <v>5</v>
      </c>
      <c r="V19" s="2"/>
      <c r="W19" s="2">
        <v>-1</v>
      </c>
      <c r="X19" s="2"/>
      <c r="Y19" s="2"/>
      <c r="Z19" s="2"/>
      <c r="AA19" s="1">
        <f t="shared" si="0"/>
        <v>4</v>
      </c>
    </row>
    <row r="20" spans="1:27" x14ac:dyDescent="0.3">
      <c r="A20" s="1" t="s">
        <v>39</v>
      </c>
      <c r="B20" s="1">
        <v>214</v>
      </c>
      <c r="C20" s="1">
        <f t="shared" ref="C20:R20" si="1">SUM(C3:C19)</f>
        <v>100</v>
      </c>
      <c r="D20" s="1">
        <f t="shared" si="1"/>
        <v>-8</v>
      </c>
      <c r="E20" s="1">
        <f t="shared" si="1"/>
        <v>-62</v>
      </c>
      <c r="F20" s="1">
        <f t="shared" si="1"/>
        <v>111</v>
      </c>
      <c r="G20" s="1">
        <f t="shared" si="1"/>
        <v>15</v>
      </c>
      <c r="H20" s="1">
        <f t="shared" si="1"/>
        <v>-36</v>
      </c>
      <c r="I20" s="1">
        <f t="shared" si="1"/>
        <v>-4</v>
      </c>
      <c r="J20" s="1">
        <f t="shared" si="1"/>
        <v>60</v>
      </c>
      <c r="K20" s="1">
        <f t="shared" si="1"/>
        <v>-19</v>
      </c>
      <c r="L20" s="1">
        <f t="shared" si="1"/>
        <v>-15</v>
      </c>
      <c r="M20" s="1">
        <f t="shared" si="1"/>
        <v>145</v>
      </c>
      <c r="N20" s="1">
        <f t="shared" si="1"/>
        <v>-72</v>
      </c>
      <c r="O20" s="1">
        <f t="shared" si="1"/>
        <v>2</v>
      </c>
      <c r="P20" s="1">
        <f t="shared" si="1"/>
        <v>110</v>
      </c>
      <c r="Q20" s="1">
        <f t="shared" si="1"/>
        <v>-17</v>
      </c>
      <c r="R20" s="1">
        <f t="shared" si="1"/>
        <v>8</v>
      </c>
      <c r="S20" s="1">
        <f t="shared" ref="S20" si="2">SUM(S3:S19)</f>
        <v>-46</v>
      </c>
      <c r="T20" s="1">
        <f t="shared" ref="T20" si="3">SUM(T3:T19)</f>
        <v>-99</v>
      </c>
      <c r="U20" s="1">
        <f t="shared" ref="U20:Z20" si="4">SUM(U3:U19)</f>
        <v>5</v>
      </c>
      <c r="V20" s="1">
        <f t="shared" si="4"/>
        <v>-4</v>
      </c>
      <c r="W20" s="1">
        <f t="shared" si="4"/>
        <v>-32</v>
      </c>
      <c r="X20" s="1">
        <f t="shared" si="4"/>
        <v>-75</v>
      </c>
      <c r="Y20" s="1">
        <f t="shared" si="4"/>
        <v>-8</v>
      </c>
      <c r="Z20" s="1">
        <f t="shared" si="4"/>
        <v>35</v>
      </c>
      <c r="AA20" s="1">
        <f t="shared" si="0"/>
        <v>308</v>
      </c>
    </row>
    <row r="22" spans="1:27" x14ac:dyDescent="0.3">
      <c r="A22" t="s">
        <v>130</v>
      </c>
    </row>
    <row r="23" spans="1:27" x14ac:dyDescent="0.3">
      <c r="A23" t="s">
        <v>163</v>
      </c>
    </row>
    <row r="24" spans="1:27" x14ac:dyDescent="0.3">
      <c r="A24" t="s">
        <v>164</v>
      </c>
    </row>
    <row r="25" spans="1:27" x14ac:dyDescent="0.3">
      <c r="A25" t="s">
        <v>165</v>
      </c>
    </row>
    <row r="26" spans="1:27" x14ac:dyDescent="0.3">
      <c r="A26" t="s">
        <v>166</v>
      </c>
    </row>
  </sheetData>
  <pageMargins left="0.7" right="0.7" top="0.75" bottom="0.75" header="0.3" footer="0.3"/>
  <pageSetup paperSize="9" scale="5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558F-3345-46D7-93DD-F6C9244370C3}">
  <sheetPr>
    <tabColor theme="7" tint="0.79998168889431442"/>
  </sheetPr>
  <dimension ref="A1:AA26"/>
  <sheetViews>
    <sheetView tabSelected="1" workbookViewId="0">
      <selection activeCell="U9" sqref="U9"/>
    </sheetView>
  </sheetViews>
  <sheetFormatPr defaultRowHeight="14.4" x14ac:dyDescent="0.3"/>
  <cols>
    <col min="1" max="1" width="24.109375" bestFit="1" customWidth="1"/>
    <col min="6" max="15" width="8.88671875" customWidth="1"/>
    <col min="16" max="16" width="9.33203125" customWidth="1"/>
    <col min="17" max="26" width="8.88671875" customWidth="1"/>
  </cols>
  <sheetData>
    <row r="1" spans="1:27" x14ac:dyDescent="0.3">
      <c r="A1" s="29" t="s">
        <v>167</v>
      </c>
      <c r="B1" s="1"/>
      <c r="C1" s="9">
        <v>38473</v>
      </c>
      <c r="D1" s="9">
        <v>38838</v>
      </c>
      <c r="E1" s="9">
        <v>39203</v>
      </c>
      <c r="F1" s="9">
        <v>39569</v>
      </c>
      <c r="G1" s="9">
        <v>39203</v>
      </c>
      <c r="H1" s="9">
        <v>39203</v>
      </c>
      <c r="I1" s="9">
        <v>41030</v>
      </c>
      <c r="J1" s="9">
        <v>41030</v>
      </c>
      <c r="K1" s="9">
        <v>41395</v>
      </c>
      <c r="L1" s="9">
        <v>42125</v>
      </c>
      <c r="M1" s="9">
        <v>42125</v>
      </c>
      <c r="N1" s="9">
        <v>43586</v>
      </c>
      <c r="O1" s="9">
        <v>43952</v>
      </c>
      <c r="P1" s="9">
        <v>44682</v>
      </c>
      <c r="Q1" s="9">
        <v>44682</v>
      </c>
      <c r="R1" s="9">
        <v>45778</v>
      </c>
      <c r="S1" s="9">
        <v>46143</v>
      </c>
      <c r="T1" s="9">
        <v>46143</v>
      </c>
      <c r="U1" s="9"/>
      <c r="V1" s="9"/>
      <c r="W1" s="9"/>
      <c r="X1" s="9"/>
      <c r="Y1" s="9"/>
      <c r="Z1" s="9"/>
      <c r="AA1" s="1"/>
    </row>
    <row r="2" spans="1:27" x14ac:dyDescent="0.3">
      <c r="A2" s="1" t="s">
        <v>1</v>
      </c>
      <c r="B2" s="1"/>
      <c r="C2" s="1"/>
      <c r="D2" s="1"/>
      <c r="E2" s="1"/>
      <c r="F2" s="1"/>
      <c r="G2" s="1" t="s">
        <v>5</v>
      </c>
      <c r="H2" s="1" t="s">
        <v>161</v>
      </c>
      <c r="I2" s="1"/>
      <c r="J2" s="1" t="s">
        <v>168</v>
      </c>
      <c r="K2" s="1"/>
      <c r="L2" s="1" t="s">
        <v>5</v>
      </c>
      <c r="M2" s="1"/>
      <c r="N2" s="1"/>
      <c r="O2" s="1"/>
      <c r="P2" s="1"/>
      <c r="Q2" s="1" t="s">
        <v>5</v>
      </c>
      <c r="R2" s="1" t="s">
        <v>5</v>
      </c>
      <c r="S2" s="1" t="s">
        <v>161</v>
      </c>
      <c r="T2" s="1"/>
      <c r="U2" s="1"/>
      <c r="V2" s="1"/>
      <c r="W2" s="1"/>
      <c r="X2" s="1"/>
      <c r="Y2" s="1"/>
      <c r="Z2" s="1"/>
      <c r="AA2" s="1"/>
    </row>
    <row r="3" spans="1:27" x14ac:dyDescent="0.3">
      <c r="A3" s="2" t="s">
        <v>17</v>
      </c>
      <c r="B3" s="1">
        <v>51</v>
      </c>
      <c r="C3" s="2">
        <v>-9</v>
      </c>
      <c r="D3" s="2"/>
      <c r="E3" s="2"/>
      <c r="F3" s="2">
        <v>-35</v>
      </c>
      <c r="G3" s="2"/>
      <c r="H3" s="2"/>
      <c r="I3" s="2">
        <v>-1</v>
      </c>
      <c r="J3" s="2"/>
      <c r="K3" s="2">
        <v>-5</v>
      </c>
      <c r="L3" s="2"/>
      <c r="M3" s="2"/>
      <c r="N3" s="2"/>
      <c r="O3" s="2"/>
      <c r="P3" s="2">
        <v>-1</v>
      </c>
      <c r="Q3" s="2"/>
      <c r="R3" s="2">
        <v>110</v>
      </c>
      <c r="S3" s="2">
        <v>-30</v>
      </c>
      <c r="T3" s="2">
        <v>-3</v>
      </c>
      <c r="U3" s="2"/>
      <c r="V3" s="2"/>
      <c r="W3" s="2"/>
      <c r="X3" s="2"/>
      <c r="Y3" s="2"/>
      <c r="Z3" s="2"/>
      <c r="AA3" s="1">
        <f>SUM(B3:Z3)</f>
        <v>77</v>
      </c>
    </row>
    <row r="4" spans="1:27" x14ac:dyDescent="0.3">
      <c r="A4" s="2" t="s">
        <v>6</v>
      </c>
      <c r="B4" s="1">
        <v>13</v>
      </c>
      <c r="C4" s="2"/>
      <c r="D4" s="2">
        <v>-6</v>
      </c>
      <c r="E4" s="2"/>
      <c r="F4" s="2">
        <v>-23</v>
      </c>
      <c r="G4" s="2">
        <v>50</v>
      </c>
      <c r="H4" s="2">
        <v>-20</v>
      </c>
      <c r="I4" s="2"/>
      <c r="J4" s="2"/>
      <c r="K4" s="2"/>
      <c r="L4" s="2"/>
      <c r="M4" s="2">
        <v>-15</v>
      </c>
      <c r="N4" s="2"/>
      <c r="O4" s="2"/>
      <c r="P4" s="2">
        <v>-1</v>
      </c>
      <c r="Q4" s="2">
        <v>50</v>
      </c>
      <c r="R4" s="2"/>
      <c r="S4" s="2"/>
      <c r="T4" s="2"/>
      <c r="U4" s="2"/>
      <c r="V4" s="2"/>
      <c r="W4" s="2"/>
      <c r="X4" s="2"/>
      <c r="Y4" s="2"/>
      <c r="Z4" s="2"/>
      <c r="AA4" s="1">
        <f t="shared" ref="AA4:AA20" si="0">SUM(B4:Z4)</f>
        <v>48</v>
      </c>
    </row>
    <row r="5" spans="1:27" x14ac:dyDescent="0.3">
      <c r="A5" s="2" t="s">
        <v>126</v>
      </c>
      <c r="B5" s="1">
        <v>0</v>
      </c>
      <c r="C5" s="2"/>
      <c r="D5" s="2"/>
      <c r="E5" s="2"/>
      <c r="F5" s="2"/>
      <c r="G5" s="2"/>
      <c r="H5" s="2"/>
      <c r="I5" s="2"/>
      <c r="J5" s="2"/>
      <c r="K5" s="2"/>
      <c r="L5" s="2">
        <v>30</v>
      </c>
      <c r="M5" s="2">
        <v>-16</v>
      </c>
      <c r="N5" s="2"/>
      <c r="O5" s="2">
        <v>-2</v>
      </c>
      <c r="P5" s="2">
        <v>-3</v>
      </c>
      <c r="Q5" s="2"/>
      <c r="R5" s="2"/>
      <c r="S5" s="2"/>
      <c r="T5" s="2">
        <v>-7</v>
      </c>
      <c r="U5" s="2"/>
      <c r="V5" s="2"/>
      <c r="W5" s="2"/>
      <c r="X5" s="2"/>
      <c r="Y5" s="2"/>
      <c r="Z5" s="2"/>
      <c r="AA5" s="1">
        <f t="shared" si="0"/>
        <v>2</v>
      </c>
    </row>
    <row r="6" spans="1:27" x14ac:dyDescent="0.3">
      <c r="A6" s="2" t="s">
        <v>149</v>
      </c>
      <c r="B6" s="1">
        <v>15</v>
      </c>
      <c r="C6" s="2">
        <v>-4</v>
      </c>
      <c r="D6" s="2">
        <v>-2</v>
      </c>
      <c r="E6" s="2"/>
      <c r="F6" s="2">
        <v>-7</v>
      </c>
      <c r="G6" s="2">
        <v>20</v>
      </c>
      <c r="H6" s="2">
        <v>-10</v>
      </c>
      <c r="I6" s="2"/>
      <c r="J6" s="2"/>
      <c r="K6" s="2"/>
      <c r="L6" s="2"/>
      <c r="M6" s="2">
        <v>-2</v>
      </c>
      <c r="N6" s="2"/>
      <c r="O6" s="2"/>
      <c r="P6" s="2"/>
      <c r="Q6" s="2"/>
      <c r="R6" s="2"/>
      <c r="S6" s="2">
        <v>-5</v>
      </c>
      <c r="T6" s="2"/>
      <c r="U6" s="2"/>
      <c r="V6" s="2"/>
      <c r="W6" s="2"/>
      <c r="X6" s="2"/>
      <c r="Y6" s="2"/>
      <c r="Z6" s="2"/>
      <c r="AA6" s="1">
        <f t="shared" si="0"/>
        <v>5</v>
      </c>
    </row>
    <row r="7" spans="1:27" x14ac:dyDescent="0.3">
      <c r="A7" s="2" t="s">
        <v>121</v>
      </c>
      <c r="B7" s="1">
        <v>10</v>
      </c>
      <c r="C7" s="2"/>
      <c r="D7" s="2"/>
      <c r="E7" s="2"/>
      <c r="F7" s="2">
        <v>-1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1">
        <f t="shared" si="0"/>
        <v>9</v>
      </c>
    </row>
    <row r="8" spans="1:27" x14ac:dyDescent="0.3">
      <c r="A8" s="2" t="s">
        <v>122</v>
      </c>
      <c r="B8" s="1">
        <v>1</v>
      </c>
      <c r="C8" s="2"/>
      <c r="D8" s="2"/>
      <c r="E8" s="2"/>
      <c r="F8" s="2">
        <v>-2</v>
      </c>
      <c r="G8" s="2">
        <v>20</v>
      </c>
      <c r="H8" s="2">
        <v>-10</v>
      </c>
      <c r="I8" s="2"/>
      <c r="J8" s="2"/>
      <c r="K8" s="2"/>
      <c r="L8" s="2"/>
      <c r="M8" s="2"/>
      <c r="N8" s="2"/>
      <c r="O8" s="2"/>
      <c r="P8" s="2">
        <v>-5</v>
      </c>
      <c r="Q8" s="2"/>
      <c r="R8" s="2"/>
      <c r="S8" s="2"/>
      <c r="T8" s="2"/>
      <c r="U8" s="2"/>
      <c r="V8" s="2"/>
      <c r="W8" s="2"/>
      <c r="X8" s="2"/>
      <c r="Y8" s="2"/>
      <c r="Z8" s="2"/>
      <c r="AA8" s="1">
        <f t="shared" si="0"/>
        <v>4</v>
      </c>
    </row>
    <row r="9" spans="1:27" ht="16.2" customHeight="1" x14ac:dyDescent="0.3">
      <c r="A9" s="2" t="s">
        <v>24</v>
      </c>
      <c r="B9" s="1">
        <v>122</v>
      </c>
      <c r="C9" s="2">
        <v>-12</v>
      </c>
      <c r="D9" s="2"/>
      <c r="E9" s="2"/>
      <c r="F9" s="2">
        <v>-25</v>
      </c>
      <c r="G9" s="2"/>
      <c r="H9" s="2"/>
      <c r="I9" s="2"/>
      <c r="J9" s="2">
        <v>-35</v>
      </c>
      <c r="K9" s="2"/>
      <c r="L9" s="2"/>
      <c r="M9" s="2">
        <v>-11</v>
      </c>
      <c r="N9" s="2">
        <v>-10</v>
      </c>
      <c r="O9" s="2">
        <v>-1</v>
      </c>
      <c r="P9" s="2">
        <v>-21</v>
      </c>
      <c r="Q9" s="2"/>
      <c r="R9" s="2">
        <v>50</v>
      </c>
      <c r="S9" s="2">
        <v>-20</v>
      </c>
      <c r="T9" s="2">
        <v>-3</v>
      </c>
      <c r="U9" s="2"/>
      <c r="V9" s="2"/>
      <c r="W9" s="2"/>
      <c r="X9" s="2"/>
      <c r="Y9" s="2"/>
      <c r="Z9" s="2"/>
      <c r="AA9" s="1">
        <f t="shared" si="0"/>
        <v>34</v>
      </c>
    </row>
    <row r="10" spans="1:27" x14ac:dyDescent="0.3">
      <c r="A10" s="2" t="s">
        <v>162</v>
      </c>
      <c r="B10" s="1">
        <v>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1">
        <f t="shared" si="0"/>
        <v>5</v>
      </c>
    </row>
    <row r="11" spans="1:27" x14ac:dyDescent="0.3">
      <c r="A11" s="2" t="s">
        <v>150</v>
      </c>
      <c r="B11" s="1">
        <v>-2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1">
        <f t="shared" si="0"/>
        <v>-2</v>
      </c>
    </row>
    <row r="12" spans="1:27" x14ac:dyDescent="0.3">
      <c r="A12" s="2" t="s">
        <v>30</v>
      </c>
      <c r="B12" s="1">
        <v>43</v>
      </c>
      <c r="C12" s="2"/>
      <c r="D12" s="2">
        <v>-6</v>
      </c>
      <c r="E12" s="2">
        <v>-4</v>
      </c>
      <c r="F12" s="2">
        <v>-7</v>
      </c>
      <c r="G12" s="2"/>
      <c r="H12" s="2"/>
      <c r="I12" s="2"/>
      <c r="J12" s="2">
        <v>-10</v>
      </c>
      <c r="K12" s="2">
        <v>-3</v>
      </c>
      <c r="L12" s="2"/>
      <c r="M12" s="2">
        <v>-3</v>
      </c>
      <c r="N12" s="2"/>
      <c r="O12" s="2"/>
      <c r="P12" s="2">
        <v>-6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1">
        <f t="shared" si="0"/>
        <v>4</v>
      </c>
    </row>
    <row r="13" spans="1:27" x14ac:dyDescent="0.3">
      <c r="A13" s="2" t="s">
        <v>55</v>
      </c>
      <c r="B13" s="1">
        <v>13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1">
        <f t="shared" si="0"/>
        <v>13</v>
      </c>
    </row>
    <row r="14" spans="1:27" x14ac:dyDescent="0.3">
      <c r="A14" s="2" t="s">
        <v>57</v>
      </c>
      <c r="B14" s="1">
        <v>13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1">
        <f t="shared" si="0"/>
        <v>13</v>
      </c>
    </row>
    <row r="15" spans="1:27" x14ac:dyDescent="0.3">
      <c r="A15" s="2" t="s">
        <v>143</v>
      </c>
      <c r="B15" s="1"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1">
        <f t="shared" si="0"/>
        <v>0</v>
      </c>
    </row>
    <row r="16" spans="1:27" x14ac:dyDescent="0.3">
      <c r="A16" s="2" t="s">
        <v>33</v>
      </c>
      <c r="B16" s="1">
        <v>20</v>
      </c>
      <c r="C16" s="2"/>
      <c r="D16" s="2">
        <v>-1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v>-4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1">
        <f t="shared" si="0"/>
        <v>15</v>
      </c>
    </row>
    <row r="17" spans="1:27" x14ac:dyDescent="0.3">
      <c r="A17" s="2" t="s">
        <v>37</v>
      </c>
      <c r="B17" s="1">
        <v>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1">
        <f t="shared" si="0"/>
        <v>1</v>
      </c>
    </row>
    <row r="18" spans="1:27" x14ac:dyDescent="0.3">
      <c r="A18" s="2" t="s">
        <v>86</v>
      </c>
      <c r="B18" s="1">
        <v>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1">
        <f t="shared" si="0"/>
        <v>7</v>
      </c>
    </row>
    <row r="19" spans="1:27" x14ac:dyDescent="0.3">
      <c r="A19" s="2" t="s">
        <v>88</v>
      </c>
      <c r="B19" s="1">
        <v>4</v>
      </c>
      <c r="C19" s="2"/>
      <c r="D19" s="2"/>
      <c r="E19" s="2"/>
      <c r="F19" s="2">
        <v>-1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1">
        <f t="shared" si="0"/>
        <v>3</v>
      </c>
    </row>
    <row r="20" spans="1:27" x14ac:dyDescent="0.3">
      <c r="A20" s="1" t="s">
        <v>39</v>
      </c>
      <c r="B20" s="1">
        <v>214</v>
      </c>
      <c r="C20" s="1">
        <f t="shared" ref="C20:Z20" si="1">SUM(C3:C19)</f>
        <v>-25</v>
      </c>
      <c r="D20" s="1">
        <f t="shared" si="1"/>
        <v>-15</v>
      </c>
      <c r="E20" s="1">
        <f t="shared" si="1"/>
        <v>-4</v>
      </c>
      <c r="F20" s="1">
        <f t="shared" si="1"/>
        <v>-101</v>
      </c>
      <c r="G20" s="1">
        <f t="shared" si="1"/>
        <v>90</v>
      </c>
      <c r="H20" s="1">
        <f t="shared" si="1"/>
        <v>-40</v>
      </c>
      <c r="I20" s="1">
        <f t="shared" si="1"/>
        <v>-1</v>
      </c>
      <c r="J20" s="1">
        <f t="shared" si="1"/>
        <v>-45</v>
      </c>
      <c r="K20" s="1">
        <f t="shared" si="1"/>
        <v>-8</v>
      </c>
      <c r="L20" s="1">
        <f t="shared" si="1"/>
        <v>30</v>
      </c>
      <c r="M20" s="1">
        <f t="shared" si="1"/>
        <v>-47</v>
      </c>
      <c r="N20" s="1">
        <f t="shared" si="1"/>
        <v>-10</v>
      </c>
      <c r="O20" s="1">
        <f t="shared" si="1"/>
        <v>-3</v>
      </c>
      <c r="P20" s="1">
        <f t="shared" si="1"/>
        <v>-41</v>
      </c>
      <c r="Q20" s="1">
        <f t="shared" si="1"/>
        <v>50</v>
      </c>
      <c r="R20" s="1">
        <f t="shared" si="1"/>
        <v>160</v>
      </c>
      <c r="S20" s="1">
        <f t="shared" si="1"/>
        <v>-55</v>
      </c>
      <c r="T20" s="1">
        <f t="shared" si="1"/>
        <v>-13</v>
      </c>
      <c r="U20" s="1">
        <f t="shared" si="1"/>
        <v>0</v>
      </c>
      <c r="V20" s="1">
        <f t="shared" si="1"/>
        <v>0</v>
      </c>
      <c r="W20" s="1">
        <f t="shared" si="1"/>
        <v>0</v>
      </c>
      <c r="X20" s="1">
        <f t="shared" si="1"/>
        <v>0</v>
      </c>
      <c r="Y20" s="1">
        <f t="shared" si="1"/>
        <v>0</v>
      </c>
      <c r="Z20" s="1">
        <f t="shared" si="1"/>
        <v>0</v>
      </c>
      <c r="AA20" s="1">
        <f t="shared" si="0"/>
        <v>136</v>
      </c>
    </row>
    <row r="22" spans="1:27" x14ac:dyDescent="0.3">
      <c r="A22" t="s">
        <v>130</v>
      </c>
    </row>
    <row r="23" spans="1:27" x14ac:dyDescent="0.3">
      <c r="A23" t="s">
        <v>163</v>
      </c>
      <c r="B23" t="s">
        <v>169</v>
      </c>
    </row>
    <row r="24" spans="1:27" x14ac:dyDescent="0.3">
      <c r="A24" t="s">
        <v>164</v>
      </c>
    </row>
    <row r="25" spans="1:27" x14ac:dyDescent="0.3">
      <c r="A25" t="s">
        <v>165</v>
      </c>
    </row>
    <row r="26" spans="1:27" x14ac:dyDescent="0.3">
      <c r="A26" t="s">
        <v>166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C15D-8935-4C5C-9A2E-3699EE82C8E5}">
  <sheetPr>
    <tabColor theme="9" tint="0.59999389629810485"/>
  </sheetPr>
  <dimension ref="A1:V12"/>
  <sheetViews>
    <sheetView workbookViewId="0">
      <selection activeCell="T27" sqref="T27"/>
    </sheetView>
  </sheetViews>
  <sheetFormatPr defaultRowHeight="14.4" x14ac:dyDescent="0.3"/>
  <cols>
    <col min="1" max="1" width="13.88671875" bestFit="1" customWidth="1"/>
    <col min="2" max="2" width="9.44140625" bestFit="1" customWidth="1"/>
    <col min="3" max="3" width="4.88671875" customWidth="1"/>
  </cols>
  <sheetData>
    <row r="1" spans="1:22" x14ac:dyDescent="0.3">
      <c r="A1" s="44" t="s">
        <v>168</v>
      </c>
      <c r="B1" s="44"/>
      <c r="C1" s="1"/>
      <c r="D1" s="9">
        <v>47209</v>
      </c>
      <c r="E1" s="9">
        <v>38108</v>
      </c>
      <c r="F1" s="9">
        <v>38473</v>
      </c>
      <c r="G1" s="9">
        <v>38838</v>
      </c>
      <c r="H1" s="9">
        <v>39203</v>
      </c>
      <c r="I1" s="9">
        <v>40664</v>
      </c>
      <c r="J1" s="9">
        <v>41030</v>
      </c>
      <c r="K1" s="9">
        <v>41030</v>
      </c>
      <c r="L1" s="9">
        <v>41395</v>
      </c>
      <c r="M1" s="9">
        <v>42125</v>
      </c>
      <c r="N1" s="9">
        <v>43221</v>
      </c>
      <c r="O1" s="9">
        <v>43586</v>
      </c>
      <c r="P1" s="9">
        <v>43952</v>
      </c>
      <c r="Q1" s="9">
        <v>44317</v>
      </c>
      <c r="R1" s="9">
        <v>45778</v>
      </c>
      <c r="S1" s="9">
        <v>46508</v>
      </c>
      <c r="T1" s="9"/>
      <c r="U1" s="9"/>
      <c r="V1" s="1"/>
    </row>
    <row r="2" spans="1:22" x14ac:dyDescent="0.3">
      <c r="A2" s="1" t="s">
        <v>1</v>
      </c>
      <c r="B2" s="40" t="s">
        <v>2</v>
      </c>
      <c r="C2" s="1"/>
      <c r="D2" s="1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5</v>
      </c>
      <c r="T2" s="1"/>
      <c r="U2" s="1"/>
      <c r="V2" s="1"/>
    </row>
    <row r="3" spans="1:22" x14ac:dyDescent="0.3">
      <c r="A3" s="2" t="s">
        <v>63</v>
      </c>
      <c r="B3" s="2" t="s">
        <v>170</v>
      </c>
      <c r="C3" s="1">
        <f ca="1">SUM(C3:M3)</f>
        <v>0</v>
      </c>
      <c r="D3" s="2">
        <v>30</v>
      </c>
      <c r="E3" s="2">
        <v>-10</v>
      </c>
      <c r="F3" s="2">
        <v>-5</v>
      </c>
      <c r="G3" s="2"/>
      <c r="H3" s="2"/>
      <c r="I3" s="2">
        <v>-12</v>
      </c>
      <c r="J3" s="2"/>
      <c r="K3" s="2"/>
      <c r="L3" s="2"/>
      <c r="M3" s="2"/>
      <c r="N3" s="2"/>
      <c r="O3" s="2"/>
      <c r="P3" s="2">
        <v>-3</v>
      </c>
      <c r="Q3" s="2"/>
      <c r="R3" s="2"/>
      <c r="S3" s="2">
        <v>30</v>
      </c>
      <c r="T3" s="2"/>
      <c r="U3" s="2"/>
      <c r="V3" s="1">
        <f>SUM(D3:U3)</f>
        <v>30</v>
      </c>
    </row>
    <row r="4" spans="1:22" x14ac:dyDescent="0.3">
      <c r="A4" s="2" t="s">
        <v>24</v>
      </c>
      <c r="B4" s="41" t="s">
        <v>171</v>
      </c>
      <c r="C4" s="1">
        <f t="shared" ref="C4:C11" ca="1" si="0">SUM(C4:M4)</f>
        <v>0</v>
      </c>
      <c r="D4" s="2">
        <v>22</v>
      </c>
      <c r="E4" s="2">
        <v>-7</v>
      </c>
      <c r="F4" s="2">
        <v>-2</v>
      </c>
      <c r="G4" s="2">
        <v>-3</v>
      </c>
      <c r="H4" s="2"/>
      <c r="I4" s="2">
        <v>-4</v>
      </c>
      <c r="J4" s="2">
        <v>22</v>
      </c>
      <c r="K4" s="2"/>
      <c r="L4" s="2"/>
      <c r="M4" s="2">
        <v>-8</v>
      </c>
      <c r="N4" s="2">
        <v>-20</v>
      </c>
      <c r="O4" s="2"/>
      <c r="P4" s="2"/>
      <c r="Q4" s="2"/>
      <c r="R4" s="2"/>
      <c r="S4" s="2">
        <v>20</v>
      </c>
      <c r="T4" s="2"/>
      <c r="U4" s="2"/>
      <c r="V4" s="1">
        <f t="shared" ref="V4:V12" si="1">SUM(D4:U4)</f>
        <v>20</v>
      </c>
    </row>
    <row r="5" spans="1:22" x14ac:dyDescent="0.3">
      <c r="A5" s="2" t="s">
        <v>24</v>
      </c>
      <c r="B5" s="41" t="s">
        <v>172</v>
      </c>
      <c r="C5" s="1">
        <f t="shared" ca="1" si="0"/>
        <v>0</v>
      </c>
      <c r="D5" s="2">
        <v>8</v>
      </c>
      <c r="E5" s="2"/>
      <c r="F5" s="2"/>
      <c r="G5" s="2">
        <v>-8</v>
      </c>
      <c r="H5" s="2"/>
      <c r="I5" s="2"/>
      <c r="J5" s="2">
        <v>13</v>
      </c>
      <c r="K5" s="2"/>
      <c r="L5" s="2"/>
      <c r="M5" s="2">
        <v>-13</v>
      </c>
      <c r="N5" s="2"/>
      <c r="O5" s="2"/>
      <c r="P5" s="2"/>
      <c r="Q5" s="2"/>
      <c r="R5" s="2"/>
      <c r="S5" s="2"/>
      <c r="T5" s="2"/>
      <c r="U5" s="2"/>
      <c r="V5" s="1">
        <f t="shared" si="1"/>
        <v>0</v>
      </c>
    </row>
    <row r="6" spans="1:22" x14ac:dyDescent="0.3">
      <c r="A6" s="2" t="s">
        <v>93</v>
      </c>
      <c r="B6" s="41" t="s">
        <v>173</v>
      </c>
      <c r="C6" s="1">
        <f t="shared" ca="1" si="0"/>
        <v>0</v>
      </c>
      <c r="D6" s="2">
        <v>15</v>
      </c>
      <c r="E6" s="2"/>
      <c r="F6" s="2">
        <v>-6</v>
      </c>
      <c r="G6" s="2">
        <v>-2</v>
      </c>
      <c r="H6" s="2">
        <v>20</v>
      </c>
      <c r="I6" s="2"/>
      <c r="J6" s="2"/>
      <c r="K6" s="2">
        <v>-2</v>
      </c>
      <c r="L6" s="2"/>
      <c r="M6" s="2"/>
      <c r="N6" s="2">
        <v>-3</v>
      </c>
      <c r="O6" s="2"/>
      <c r="P6" s="2"/>
      <c r="Q6" s="2"/>
      <c r="R6" s="2">
        <v>-8</v>
      </c>
      <c r="S6" s="2"/>
      <c r="T6" s="2"/>
      <c r="U6" s="2"/>
      <c r="V6" s="1">
        <f t="shared" si="1"/>
        <v>14</v>
      </c>
    </row>
    <row r="7" spans="1:22" x14ac:dyDescent="0.3">
      <c r="A7" s="2" t="s">
        <v>174</v>
      </c>
      <c r="B7" s="41"/>
      <c r="C7" s="1">
        <f t="shared" ca="1" si="0"/>
        <v>0</v>
      </c>
      <c r="D7" s="2"/>
      <c r="E7" s="2"/>
      <c r="F7" s="2"/>
      <c r="G7" s="2"/>
      <c r="H7" s="2">
        <v>10</v>
      </c>
      <c r="I7" s="2"/>
      <c r="J7" s="2"/>
      <c r="K7" s="2"/>
      <c r="L7" s="2"/>
      <c r="M7" s="2"/>
      <c r="N7" s="2"/>
      <c r="O7" s="2">
        <v>-1</v>
      </c>
      <c r="P7" s="2"/>
      <c r="Q7" s="2">
        <v>-5</v>
      </c>
      <c r="R7" s="2"/>
      <c r="S7" s="2">
        <v>5</v>
      </c>
      <c r="T7" s="2"/>
      <c r="U7" s="2"/>
      <c r="V7" s="1">
        <f t="shared" si="1"/>
        <v>9</v>
      </c>
    </row>
    <row r="8" spans="1:22" x14ac:dyDescent="0.3">
      <c r="A8" s="2" t="s">
        <v>175</v>
      </c>
      <c r="B8" s="41" t="s">
        <v>176</v>
      </c>
      <c r="C8" s="1">
        <v>0</v>
      </c>
      <c r="D8" s="2"/>
      <c r="E8" s="2"/>
      <c r="F8" s="2"/>
      <c r="G8" s="2"/>
      <c r="H8" s="2"/>
      <c r="I8" s="2"/>
      <c r="J8" s="2">
        <v>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1">
        <f t="shared" si="1"/>
        <v>7</v>
      </c>
    </row>
    <row r="9" spans="1:22" x14ac:dyDescent="0.3">
      <c r="A9" s="2" t="s">
        <v>175</v>
      </c>
      <c r="B9" s="41" t="s">
        <v>177</v>
      </c>
      <c r="C9" s="1"/>
      <c r="D9" s="2"/>
      <c r="E9" s="2"/>
      <c r="F9" s="2"/>
      <c r="G9" s="2"/>
      <c r="H9" s="2"/>
      <c r="I9" s="2"/>
      <c r="J9" s="2">
        <v>3</v>
      </c>
      <c r="K9" s="2"/>
      <c r="L9" s="2"/>
      <c r="M9" s="2">
        <v>-3</v>
      </c>
      <c r="N9" s="2"/>
      <c r="O9" s="2"/>
      <c r="P9" s="2"/>
      <c r="Q9" s="2"/>
      <c r="R9" s="2"/>
      <c r="S9" s="2"/>
      <c r="T9" s="2"/>
      <c r="U9" s="2"/>
      <c r="V9" s="1">
        <f t="shared" si="1"/>
        <v>0</v>
      </c>
    </row>
    <row r="10" spans="1:22" x14ac:dyDescent="0.3">
      <c r="A10" s="2" t="s">
        <v>126</v>
      </c>
      <c r="B10" s="41"/>
      <c r="C10" s="1"/>
      <c r="D10" s="2"/>
      <c r="E10" s="2"/>
      <c r="F10" s="2"/>
      <c r="G10" s="2"/>
      <c r="H10" s="2"/>
      <c r="I10" s="2"/>
      <c r="J10" s="2"/>
      <c r="K10" s="2"/>
      <c r="L10" s="2">
        <v>-10</v>
      </c>
      <c r="M10" s="2">
        <v>-7</v>
      </c>
      <c r="N10" s="2"/>
      <c r="O10" s="2"/>
      <c r="P10" s="2">
        <v>-5</v>
      </c>
      <c r="Q10" s="2">
        <v>-4</v>
      </c>
      <c r="R10" s="2"/>
      <c r="S10" s="2"/>
      <c r="T10" s="2"/>
      <c r="U10" s="2"/>
      <c r="V10" s="1">
        <f t="shared" si="1"/>
        <v>-26</v>
      </c>
    </row>
    <row r="11" spans="1:22" x14ac:dyDescent="0.3">
      <c r="A11" s="2" t="s">
        <v>122</v>
      </c>
      <c r="B11" s="2"/>
      <c r="C11" s="1">
        <f t="shared" ca="1" si="0"/>
        <v>0</v>
      </c>
      <c r="D11" s="2"/>
      <c r="E11" s="2"/>
      <c r="F11" s="2"/>
      <c r="G11" s="2"/>
      <c r="H11" s="2">
        <v>10</v>
      </c>
      <c r="I11" s="2"/>
      <c r="J11" s="2"/>
      <c r="K11" s="2"/>
      <c r="L11" s="2"/>
      <c r="M11" s="2"/>
      <c r="N11" s="2">
        <v>-1</v>
      </c>
      <c r="O11" s="2">
        <v>-4</v>
      </c>
      <c r="P11" s="2"/>
      <c r="Q11" s="2"/>
      <c r="R11" s="2"/>
      <c r="S11" s="2"/>
      <c r="T11" s="2"/>
      <c r="U11" s="2"/>
      <c r="V11" s="1">
        <f t="shared" si="1"/>
        <v>5</v>
      </c>
    </row>
    <row r="12" spans="1:22" x14ac:dyDescent="0.3">
      <c r="A12" s="1" t="s">
        <v>178</v>
      </c>
      <c r="B12" s="1"/>
      <c r="C12" s="1">
        <f ca="1">SUM(C3:C11)</f>
        <v>0</v>
      </c>
      <c r="D12" s="1">
        <f>SUM(D3:D11)</f>
        <v>75</v>
      </c>
      <c r="E12" s="1">
        <f t="shared" ref="E12:U12" si="2">SUM(E3:E11)</f>
        <v>-17</v>
      </c>
      <c r="F12" s="1">
        <f t="shared" si="2"/>
        <v>-13</v>
      </c>
      <c r="G12" s="1">
        <f t="shared" si="2"/>
        <v>-13</v>
      </c>
      <c r="H12" s="1">
        <f t="shared" si="2"/>
        <v>40</v>
      </c>
      <c r="I12" s="1">
        <f t="shared" si="2"/>
        <v>-16</v>
      </c>
      <c r="J12" s="1">
        <f t="shared" si="2"/>
        <v>45</v>
      </c>
      <c r="K12" s="1">
        <f t="shared" si="2"/>
        <v>-2</v>
      </c>
      <c r="L12" s="1">
        <f t="shared" si="2"/>
        <v>-10</v>
      </c>
      <c r="M12" s="1">
        <f t="shared" si="2"/>
        <v>-31</v>
      </c>
      <c r="N12" s="1">
        <f t="shared" si="2"/>
        <v>-24</v>
      </c>
      <c r="O12" s="1">
        <f t="shared" si="2"/>
        <v>-5</v>
      </c>
      <c r="P12" s="1">
        <f t="shared" si="2"/>
        <v>-8</v>
      </c>
      <c r="Q12" s="1">
        <f t="shared" si="2"/>
        <v>-9</v>
      </c>
      <c r="R12" s="1">
        <f t="shared" si="2"/>
        <v>-8</v>
      </c>
      <c r="S12" s="1">
        <f t="shared" si="2"/>
        <v>55</v>
      </c>
      <c r="T12" s="1">
        <f t="shared" si="2"/>
        <v>0</v>
      </c>
      <c r="U12" s="1">
        <f t="shared" si="2"/>
        <v>0</v>
      </c>
      <c r="V12" s="1">
        <f t="shared" si="1"/>
        <v>59</v>
      </c>
    </row>
  </sheetData>
  <mergeCells count="1">
    <mergeCell ref="A1:B1"/>
  </mergeCell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8701-A678-40E1-91B5-230D091DAEB0}">
  <sheetPr>
    <tabColor theme="4" tint="0.39997558519241921"/>
  </sheetPr>
  <dimension ref="A1:AI22"/>
  <sheetViews>
    <sheetView workbookViewId="0">
      <selection activeCell="AF34" sqref="AF34"/>
    </sheetView>
  </sheetViews>
  <sheetFormatPr defaultRowHeight="14.4" x14ac:dyDescent="0.3"/>
  <sheetData>
    <row r="1" spans="1:35" x14ac:dyDescent="0.3">
      <c r="A1" s="44" t="s">
        <v>115</v>
      </c>
      <c r="B1" s="44"/>
      <c r="C1" s="44"/>
      <c r="D1" s="2"/>
      <c r="E1" s="42">
        <v>39083</v>
      </c>
      <c r="F1" s="42">
        <v>39448</v>
      </c>
      <c r="G1" s="42">
        <v>40909</v>
      </c>
      <c r="H1" s="42">
        <v>41275</v>
      </c>
      <c r="I1" s="42">
        <v>41640</v>
      </c>
      <c r="J1" s="42">
        <v>43831</v>
      </c>
      <c r="K1" s="42">
        <v>44197</v>
      </c>
      <c r="L1" s="42">
        <v>44562</v>
      </c>
      <c r="M1" s="42">
        <v>47119</v>
      </c>
      <c r="N1" s="42">
        <v>38384</v>
      </c>
      <c r="O1" s="42">
        <v>40575</v>
      </c>
      <c r="P1" s="42">
        <v>40940</v>
      </c>
      <c r="Q1" s="42">
        <v>43497</v>
      </c>
      <c r="R1" s="42">
        <v>44958</v>
      </c>
      <c r="S1" s="42">
        <v>45323</v>
      </c>
      <c r="T1" s="42">
        <v>45689</v>
      </c>
      <c r="U1" s="42">
        <v>46054</v>
      </c>
      <c r="V1" s="42">
        <v>37316</v>
      </c>
      <c r="W1" s="42">
        <v>37681</v>
      </c>
      <c r="X1" s="42">
        <v>38412</v>
      </c>
      <c r="Y1" s="42">
        <v>40969</v>
      </c>
      <c r="Z1" s="42">
        <v>43525</v>
      </c>
      <c r="AA1" s="42">
        <v>44986</v>
      </c>
      <c r="AB1" s="42">
        <v>42461</v>
      </c>
      <c r="AC1" s="42">
        <v>47209</v>
      </c>
      <c r="AD1" s="42"/>
      <c r="AE1" s="42"/>
      <c r="AF1" s="42"/>
      <c r="AG1" s="42"/>
      <c r="AH1" s="2"/>
      <c r="AI1" s="2"/>
    </row>
    <row r="2" spans="1:35" x14ac:dyDescent="0.3">
      <c r="A2" s="1" t="s">
        <v>1</v>
      </c>
      <c r="B2" s="40" t="s">
        <v>2</v>
      </c>
      <c r="C2" s="1" t="s">
        <v>3</v>
      </c>
      <c r="D2" s="1"/>
      <c r="E2" s="1"/>
      <c r="F2" s="1"/>
      <c r="G2" s="1"/>
      <c r="H2" s="1"/>
      <c r="I2" s="1"/>
      <c r="J2" s="1" t="s">
        <v>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5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3">
      <c r="A3" s="2" t="s">
        <v>24</v>
      </c>
      <c r="B3" s="8" t="s">
        <v>102</v>
      </c>
      <c r="C3" s="15">
        <v>2.2027000000000001</v>
      </c>
      <c r="D3" s="1">
        <v>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1">
        <f>SUM(D3:AH3)</f>
        <v>0</v>
      </c>
    </row>
    <row r="4" spans="1:35" x14ac:dyDescent="0.3">
      <c r="A4" s="2" t="s">
        <v>24</v>
      </c>
      <c r="B4" s="8" t="s">
        <v>179</v>
      </c>
      <c r="C4" s="15">
        <v>6.2027000000000001</v>
      </c>
      <c r="D4" s="1">
        <v>1</v>
      </c>
      <c r="E4" s="2"/>
      <c r="F4" s="2">
        <v>-1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1">
        <f t="shared" ref="AI4:AI19" si="0">SUM(D4:AH4)</f>
        <v>0</v>
      </c>
    </row>
    <row r="5" spans="1:35" x14ac:dyDescent="0.3">
      <c r="A5" s="2" t="s">
        <v>24</v>
      </c>
      <c r="B5" s="7" t="s">
        <v>111</v>
      </c>
      <c r="C5" s="15">
        <v>3.27</v>
      </c>
      <c r="D5" s="1">
        <v>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1">
        <f t="shared" si="0"/>
        <v>0</v>
      </c>
    </row>
    <row r="6" spans="1:35" x14ac:dyDescent="0.3">
      <c r="A6" s="2" t="s">
        <v>24</v>
      </c>
      <c r="B6" s="7" t="s">
        <v>180</v>
      </c>
      <c r="C6" s="15"/>
      <c r="D6" s="1">
        <v>0</v>
      </c>
      <c r="E6" s="2"/>
      <c r="F6" s="2"/>
      <c r="G6" s="2"/>
      <c r="H6" s="2"/>
      <c r="I6" s="2"/>
      <c r="J6" s="2">
        <v>40</v>
      </c>
      <c r="K6" s="2"/>
      <c r="L6" s="2">
        <v>-8</v>
      </c>
      <c r="M6" s="2">
        <v>-9</v>
      </c>
      <c r="N6" s="2"/>
      <c r="O6" s="2">
        <v>-4</v>
      </c>
      <c r="P6" s="2">
        <v>-10</v>
      </c>
      <c r="Q6" s="2"/>
      <c r="R6" s="2"/>
      <c r="S6" s="2">
        <v>-3</v>
      </c>
      <c r="T6" s="2">
        <v>-5</v>
      </c>
      <c r="U6" s="2"/>
      <c r="V6" s="2">
        <v>40</v>
      </c>
      <c r="W6" s="2"/>
      <c r="X6" s="2">
        <v>-5</v>
      </c>
      <c r="Y6" s="2">
        <v>-2</v>
      </c>
      <c r="Z6" s="2"/>
      <c r="AA6" s="2">
        <v>-18</v>
      </c>
      <c r="AB6" s="2"/>
      <c r="AC6" s="2"/>
      <c r="AD6" s="2"/>
      <c r="AE6" s="2"/>
      <c r="AF6" s="2"/>
      <c r="AG6" s="2"/>
      <c r="AH6" s="2"/>
      <c r="AI6" s="1">
        <f t="shared" si="0"/>
        <v>16</v>
      </c>
    </row>
    <row r="7" spans="1:35" x14ac:dyDescent="0.3">
      <c r="A7" s="2" t="s">
        <v>17</v>
      </c>
      <c r="B7" s="6" t="s">
        <v>92</v>
      </c>
      <c r="C7" s="15">
        <v>4.2699999999999996</v>
      </c>
      <c r="D7" s="1">
        <v>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1">
        <f t="shared" si="0"/>
        <v>0</v>
      </c>
    </row>
    <row r="8" spans="1:35" x14ac:dyDescent="0.3">
      <c r="A8" s="2" t="s">
        <v>17</v>
      </c>
      <c r="B8" s="6" t="s">
        <v>181</v>
      </c>
      <c r="C8" s="15">
        <v>11.2027</v>
      </c>
      <c r="D8" s="1">
        <v>22</v>
      </c>
      <c r="E8" s="2"/>
      <c r="F8" s="2">
        <v>-1</v>
      </c>
      <c r="G8" s="2">
        <v>-3</v>
      </c>
      <c r="H8" s="2">
        <v>-3</v>
      </c>
      <c r="I8" s="2">
        <v>-10</v>
      </c>
      <c r="J8" s="2">
        <v>40</v>
      </c>
      <c r="K8" s="2"/>
      <c r="L8" s="2"/>
      <c r="M8" s="2"/>
      <c r="N8" s="2">
        <v>-3</v>
      </c>
      <c r="O8" s="2"/>
      <c r="P8" s="2">
        <v>-3</v>
      </c>
      <c r="Q8" s="2">
        <v>-6</v>
      </c>
      <c r="R8" s="2">
        <v>-1</v>
      </c>
      <c r="S8" s="2"/>
      <c r="T8" s="2"/>
      <c r="U8" s="2">
        <v>-3</v>
      </c>
      <c r="V8" s="2"/>
      <c r="W8" s="2">
        <v>-4</v>
      </c>
      <c r="X8" s="2">
        <v>-3</v>
      </c>
      <c r="Y8" s="2">
        <v>-5</v>
      </c>
      <c r="Z8" s="2"/>
      <c r="AA8" s="2"/>
      <c r="AB8" s="2"/>
      <c r="AC8" s="2"/>
      <c r="AD8" s="2"/>
      <c r="AE8" s="2"/>
      <c r="AF8" s="2"/>
      <c r="AG8" s="2"/>
      <c r="AH8" s="2"/>
      <c r="AI8" s="1">
        <f t="shared" si="0"/>
        <v>17</v>
      </c>
    </row>
    <row r="9" spans="1:35" x14ac:dyDescent="0.3">
      <c r="A9" s="2" t="s">
        <v>17</v>
      </c>
      <c r="B9" s="6" t="s">
        <v>116</v>
      </c>
      <c r="C9" s="15">
        <v>3.2027000000000001</v>
      </c>
      <c r="D9" s="1">
        <v>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1">
        <f t="shared" si="0"/>
        <v>0</v>
      </c>
    </row>
    <row r="10" spans="1:35" x14ac:dyDescent="0.3">
      <c r="A10" s="2" t="s">
        <v>30</v>
      </c>
      <c r="B10" s="6">
        <v>437315</v>
      </c>
      <c r="C10" s="15"/>
      <c r="D10" s="1">
        <v>0</v>
      </c>
      <c r="E10" s="2"/>
      <c r="F10" s="2"/>
      <c r="G10" s="2"/>
      <c r="H10" s="2"/>
      <c r="I10" s="2"/>
      <c r="J10" s="2">
        <v>30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>
        <v>-4</v>
      </c>
      <c r="Z10" s="2">
        <v>-3</v>
      </c>
      <c r="AA10" s="2"/>
      <c r="AB10" s="2">
        <v>-1</v>
      </c>
      <c r="AC10" s="2"/>
      <c r="AD10" s="2"/>
      <c r="AE10" s="2"/>
      <c r="AF10" s="2"/>
      <c r="AG10" s="2"/>
      <c r="AH10" s="2"/>
      <c r="AI10" s="1">
        <f t="shared" si="0"/>
        <v>22</v>
      </c>
    </row>
    <row r="11" spans="1:35" x14ac:dyDescent="0.3">
      <c r="A11" s="2" t="s">
        <v>30</v>
      </c>
      <c r="B11" s="6">
        <v>436214</v>
      </c>
      <c r="C11" s="15">
        <v>7.2027999999999999</v>
      </c>
      <c r="D11" s="1">
        <v>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>
        <v>-6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1">
        <f t="shared" si="0"/>
        <v>0</v>
      </c>
    </row>
    <row r="12" spans="1:35" x14ac:dyDescent="0.3">
      <c r="A12" s="2" t="s">
        <v>174</v>
      </c>
      <c r="B12" s="6" t="s">
        <v>182</v>
      </c>
      <c r="C12" s="15">
        <v>8.2027000000000001</v>
      </c>
      <c r="D12" s="1">
        <v>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1">
        <f t="shared" si="0"/>
        <v>0</v>
      </c>
    </row>
    <row r="13" spans="1:35" x14ac:dyDescent="0.3">
      <c r="A13" s="2" t="s">
        <v>174</v>
      </c>
      <c r="B13" s="6" t="s">
        <v>183</v>
      </c>
      <c r="C13" s="15">
        <v>7.2027000000000001</v>
      </c>
      <c r="D13" s="1">
        <v>12</v>
      </c>
      <c r="E13" s="2"/>
      <c r="F13" s="2"/>
      <c r="G13" s="2"/>
      <c r="H13" s="2"/>
      <c r="I13" s="2">
        <v>-2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>
        <v>-1</v>
      </c>
      <c r="U13" s="2">
        <v>-4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1">
        <f t="shared" si="0"/>
        <v>5</v>
      </c>
    </row>
    <row r="14" spans="1:35" x14ac:dyDescent="0.3">
      <c r="A14" s="2" t="s">
        <v>6</v>
      </c>
      <c r="B14" s="6" t="s">
        <v>184</v>
      </c>
      <c r="C14" s="15"/>
      <c r="D14" s="1">
        <v>4</v>
      </c>
      <c r="E14" s="2">
        <v>-3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>
        <v>-1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1">
        <f t="shared" si="0"/>
        <v>0</v>
      </c>
    </row>
    <row r="15" spans="1:35" x14ac:dyDescent="0.3">
      <c r="A15" s="2" t="s">
        <v>6</v>
      </c>
      <c r="B15" s="6" t="s">
        <v>185</v>
      </c>
      <c r="C15" s="15">
        <v>5.2027000000000001</v>
      </c>
      <c r="D15" s="1">
        <v>0</v>
      </c>
      <c r="E15" s="2"/>
      <c r="F15" s="2"/>
      <c r="G15" s="2"/>
      <c r="H15" s="2"/>
      <c r="I15" s="2"/>
      <c r="J15" s="2">
        <v>10</v>
      </c>
      <c r="K15" s="2"/>
      <c r="L15" s="2"/>
      <c r="M15" s="2"/>
      <c r="N15" s="2">
        <v>-2</v>
      </c>
      <c r="O15" s="2"/>
      <c r="P15" s="2">
        <v>-3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>
        <v>-3</v>
      </c>
      <c r="AD15" s="2"/>
      <c r="AE15" s="2"/>
      <c r="AF15" s="2"/>
      <c r="AG15" s="2"/>
      <c r="AH15" s="2"/>
      <c r="AI15" s="1">
        <f t="shared" si="0"/>
        <v>2</v>
      </c>
    </row>
    <row r="16" spans="1:35" x14ac:dyDescent="0.3">
      <c r="A16" s="2" t="s">
        <v>6</v>
      </c>
      <c r="B16" s="6" t="s">
        <v>186</v>
      </c>
      <c r="C16" s="15">
        <v>12.2027</v>
      </c>
      <c r="D16" s="1">
        <v>19</v>
      </c>
      <c r="E16" s="2"/>
      <c r="F16" s="2"/>
      <c r="G16" s="2"/>
      <c r="H16" s="2"/>
      <c r="I16" s="2"/>
      <c r="J16" s="2"/>
      <c r="K16" s="2">
        <v>-7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1">
        <f t="shared" si="0"/>
        <v>12</v>
      </c>
    </row>
    <row r="17" spans="1:35" x14ac:dyDescent="0.3">
      <c r="A17" s="2"/>
      <c r="B17" s="6"/>
      <c r="C17" s="15"/>
      <c r="D17" s="1">
        <v>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1">
        <f t="shared" si="0"/>
        <v>0</v>
      </c>
    </row>
    <row r="18" spans="1:35" x14ac:dyDescent="0.3">
      <c r="A18" s="2"/>
      <c r="B18" s="6"/>
      <c r="C18" s="15"/>
      <c r="D18" s="1">
        <v>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1">
        <f t="shared" si="0"/>
        <v>0</v>
      </c>
    </row>
    <row r="19" spans="1:35" x14ac:dyDescent="0.3">
      <c r="A19" s="1" t="s">
        <v>39</v>
      </c>
      <c r="B19" s="40"/>
      <c r="C19" s="1"/>
      <c r="D19" s="1">
        <f>SUM(D3:D18)</f>
        <v>64</v>
      </c>
      <c r="E19" s="1">
        <f>SUM(E3:E18)</f>
        <v>-3</v>
      </c>
      <c r="F19" s="1">
        <f t="shared" ref="F19:AH19" si="1">SUM(F3:F18)</f>
        <v>-2</v>
      </c>
      <c r="G19" s="1">
        <f t="shared" si="1"/>
        <v>-3</v>
      </c>
      <c r="H19" s="1">
        <f t="shared" si="1"/>
        <v>-3</v>
      </c>
      <c r="I19" s="1">
        <f t="shared" si="1"/>
        <v>-12</v>
      </c>
      <c r="J19" s="1">
        <f t="shared" si="1"/>
        <v>120</v>
      </c>
      <c r="K19" s="1">
        <f t="shared" si="1"/>
        <v>-7</v>
      </c>
      <c r="L19" s="1">
        <f t="shared" si="1"/>
        <v>-8</v>
      </c>
      <c r="M19" s="1">
        <f t="shared" si="1"/>
        <v>-9</v>
      </c>
      <c r="N19" s="1">
        <f t="shared" si="1"/>
        <v>-5</v>
      </c>
      <c r="O19" s="1">
        <f t="shared" si="1"/>
        <v>-4</v>
      </c>
      <c r="P19" s="1">
        <f t="shared" si="1"/>
        <v>-16</v>
      </c>
      <c r="Q19" s="1">
        <f t="shared" si="1"/>
        <v>-6</v>
      </c>
      <c r="R19" s="1">
        <f t="shared" si="1"/>
        <v>-1</v>
      </c>
      <c r="S19" s="1">
        <f t="shared" si="1"/>
        <v>-3</v>
      </c>
      <c r="T19" s="1">
        <f t="shared" si="1"/>
        <v>-6</v>
      </c>
      <c r="U19" s="1">
        <f t="shared" si="1"/>
        <v>-13</v>
      </c>
      <c r="V19" s="1">
        <f t="shared" si="1"/>
        <v>40</v>
      </c>
      <c r="W19" s="1">
        <f t="shared" si="1"/>
        <v>-5</v>
      </c>
      <c r="X19" s="1">
        <f t="shared" si="1"/>
        <v>-8</v>
      </c>
      <c r="Y19" s="1">
        <f t="shared" si="1"/>
        <v>-11</v>
      </c>
      <c r="Z19" s="1">
        <f t="shared" si="1"/>
        <v>-3</v>
      </c>
      <c r="AA19" s="1">
        <f t="shared" si="1"/>
        <v>-18</v>
      </c>
      <c r="AB19" s="1">
        <f t="shared" si="1"/>
        <v>-1</v>
      </c>
      <c r="AC19" s="1">
        <f t="shared" si="1"/>
        <v>-3</v>
      </c>
      <c r="AD19" s="1">
        <f t="shared" si="1"/>
        <v>0</v>
      </c>
      <c r="AE19" s="1">
        <f t="shared" si="1"/>
        <v>0</v>
      </c>
      <c r="AF19" s="1">
        <f t="shared" si="1"/>
        <v>0</v>
      </c>
      <c r="AG19" s="1">
        <f t="shared" si="1"/>
        <v>0</v>
      </c>
      <c r="AH19" s="1">
        <f t="shared" si="1"/>
        <v>0</v>
      </c>
      <c r="AI19" s="1">
        <f t="shared" si="0"/>
        <v>74</v>
      </c>
    </row>
    <row r="21" spans="1:35" x14ac:dyDescent="0.3">
      <c r="A21" t="s">
        <v>187</v>
      </c>
    </row>
    <row r="22" spans="1:35" x14ac:dyDescent="0.3">
      <c r="A22" t="s">
        <v>188</v>
      </c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88ae0a-9518-4d5e-a10c-fe8fcade8e33" xsi:nil="true"/>
    <lcf76f155ced4ddcb4097134ff3c332f xmlns="646ceb7f-5622-4977-9a88-d656367215f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9DEF58B6F7E8409D31306DAEFB7508" ma:contentTypeVersion="11" ma:contentTypeDescription="Create a new document." ma:contentTypeScope="" ma:versionID="61744ba78eb27067794ba1ebc613fed2">
  <xsd:schema xmlns:xsd="http://www.w3.org/2001/XMLSchema" xmlns:xs="http://www.w3.org/2001/XMLSchema" xmlns:p="http://schemas.microsoft.com/office/2006/metadata/properties" xmlns:ns2="646ceb7f-5622-4977-9a88-d656367215f4" xmlns:ns3="3888ae0a-9518-4d5e-a10c-fe8fcade8e33" targetNamespace="http://schemas.microsoft.com/office/2006/metadata/properties" ma:root="true" ma:fieldsID="3931a8ec306cbb3af88e535c11a80359" ns2:_="" ns3:_="">
    <xsd:import namespace="646ceb7f-5622-4977-9a88-d656367215f4"/>
    <xsd:import namespace="3888ae0a-9518-4d5e-a10c-fe8fcade8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ceb7f-5622-4977-9a88-d656367215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232ddf-b408-439d-b3c5-eb4ffafe30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88ae0a-9518-4d5e-a10c-fe8fcade8e3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c56a83-8a55-485d-87e5-577a4ca93881}" ma:internalName="TaxCatchAll" ma:showField="CatchAllData" ma:web="3888ae0a-9518-4d5e-a10c-fe8fcade8e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71ED95-3BF0-4CD5-B005-887AB1B6B3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6068A1-4053-4460-9E9B-92B2957FFDB2}">
  <ds:schemaRefs>
    <ds:schemaRef ds:uri="http://schemas.microsoft.com/office/2006/metadata/properties"/>
    <ds:schemaRef ds:uri="http://schemas.microsoft.com/office/infopath/2007/PartnerControls"/>
    <ds:schemaRef ds:uri="3888ae0a-9518-4d5e-a10c-fe8fcade8e33"/>
    <ds:schemaRef ds:uri="646ceb7f-5622-4977-9a88-d656367215f4"/>
  </ds:schemaRefs>
</ds:datastoreItem>
</file>

<file path=customXml/itemProps3.xml><?xml version="1.0" encoding="utf-8"?>
<ds:datastoreItem xmlns:ds="http://schemas.openxmlformats.org/officeDocument/2006/customXml" ds:itemID="{09E60BF6-7C41-4EFF-A4BF-0D25D9B94D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6ceb7f-5622-4977-9a88-d656367215f4"/>
    <ds:schemaRef ds:uri="3888ae0a-9518-4d5e-a10c-fe8fcade8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January </vt:lpstr>
      <vt:lpstr>February 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 </vt:lpstr>
      <vt:lpstr>December </vt:lpstr>
      <vt:lpstr>January 2026</vt:lpstr>
      <vt:lpstr>Febuary 2026</vt:lpstr>
      <vt:lpstr>March 2026 </vt:lpstr>
      <vt:lpstr> April 2026</vt:lpstr>
      <vt:lpstr>May MT 2026</vt:lpstr>
      <vt:lpstr>May POL </vt:lpstr>
      <vt:lpstr>UK </vt:lpstr>
      <vt:lpstr>' April 2026'!Print_Area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Inesa Horodinka</dc:creator>
  <cp:keywords/>
  <dc:description/>
  <cp:lastModifiedBy>Inesa Horodinka</cp:lastModifiedBy>
  <cp:revision/>
  <dcterms:created xsi:type="dcterms:W3CDTF">2015-06-05T18:17:20Z</dcterms:created>
  <dcterms:modified xsi:type="dcterms:W3CDTF">2026-05-26T10:01:02Z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0x010100569DEF58B6F7E8409D31306DAEFB7508</vt:lpwstr>
  </property>
  <property fmtid="{D5CDD505-2E9C-101B-9397-08002B2CF9AE}" pid="3" name="MediaServiceImageTags">
    <vt:lpwstr/>
  </property>
</Properties>
</file>